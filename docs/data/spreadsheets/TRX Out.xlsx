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rlbenjamen/Chrome Download MAC/"/>
    </mc:Choice>
  </mc:AlternateContent>
  <xr:revisionPtr revIDLastSave="0" documentId="13_ncr:1_{1556085A-0EB6-F045-90FD-4B64FA139303}" xr6:coauthVersionLast="47" xr6:coauthVersionMax="47" xr10:uidLastSave="{00000000-0000-0000-0000-000000000000}"/>
  <bookViews>
    <workbookView xWindow="0" yWindow="760" windowWidth="38400" windowHeight="22300" xr2:uid="{00000000-000D-0000-FFFF-FFFF00000000}"/>
  </bookViews>
  <sheets>
    <sheet name="Payables" sheetId="2" r:id="rId1"/>
  </sheets>
  <definedNames>
    <definedName name="_xlnm._FilterDatabase" localSheetId="0" hidden="1">Payables!$A$1:$S$433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3" i="2" l="1"/>
  <c r="B433" i="2"/>
  <c r="F432" i="2"/>
  <c r="B432" i="2"/>
  <c r="F431" i="2"/>
  <c r="B431" i="2"/>
  <c r="B430" i="2"/>
  <c r="F429" i="2"/>
  <c r="B429" i="2"/>
  <c r="F428" i="2"/>
  <c r="B428" i="2"/>
  <c r="F427" i="2"/>
  <c r="B427" i="2"/>
  <c r="F426" i="2"/>
  <c r="B426" i="2"/>
  <c r="F425" i="2"/>
  <c r="B425" i="2"/>
  <c r="F424" i="2"/>
  <c r="B424" i="2"/>
  <c r="F423" i="2"/>
  <c r="B423" i="2"/>
  <c r="B422" i="2"/>
  <c r="B421" i="2"/>
  <c r="B420" i="2"/>
  <c r="F419" i="2"/>
  <c r="B419" i="2"/>
  <c r="F418" i="2"/>
  <c r="B418" i="2"/>
  <c r="B417" i="2"/>
  <c r="B416" i="2"/>
  <c r="B415" i="2"/>
  <c r="B414" i="2"/>
  <c r="F413" i="2"/>
  <c r="B413" i="2"/>
  <c r="F412" i="2"/>
  <c r="B412" i="2"/>
  <c r="B411" i="2"/>
  <c r="F410" i="2"/>
  <c r="B410" i="2"/>
  <c r="F409" i="2"/>
  <c r="B409" i="2"/>
  <c r="F408" i="2"/>
  <c r="B408" i="2"/>
  <c r="F407" i="2"/>
  <c r="B407" i="2"/>
  <c r="F406" i="2"/>
  <c r="B406" i="2"/>
  <c r="F405" i="2"/>
  <c r="B405" i="2"/>
  <c r="B404" i="2"/>
  <c r="B403" i="2"/>
  <c r="F402" i="2"/>
  <c r="B402" i="2"/>
  <c r="F401" i="2"/>
  <c r="B401" i="2"/>
  <c r="F400" i="2"/>
  <c r="B400" i="2"/>
  <c r="F399" i="2"/>
  <c r="B399" i="2"/>
  <c r="F398" i="2"/>
  <c r="B398" i="2"/>
  <c r="F397" i="2"/>
  <c r="B397" i="2"/>
  <c r="F396" i="2"/>
  <c r="B396" i="2"/>
  <c r="F395" i="2"/>
  <c r="B395" i="2"/>
  <c r="F394" i="2"/>
  <c r="B394" i="2"/>
  <c r="F393" i="2"/>
  <c r="B393" i="2"/>
  <c r="F392" i="2"/>
  <c r="B392" i="2"/>
  <c r="F391" i="2"/>
  <c r="B391" i="2"/>
  <c r="F390" i="2"/>
  <c r="B390" i="2"/>
  <c r="F389" i="2"/>
  <c r="B389" i="2"/>
  <c r="B388" i="2"/>
  <c r="F387" i="2"/>
  <c r="B387" i="2"/>
  <c r="F386" i="2"/>
  <c r="B386" i="2"/>
  <c r="F385" i="2"/>
  <c r="B385" i="2"/>
  <c r="B384" i="2"/>
  <c r="F383" i="2"/>
  <c r="B383" i="2"/>
  <c r="F382" i="2"/>
  <c r="B382" i="2"/>
  <c r="F381" i="2"/>
  <c r="B381" i="2"/>
  <c r="F380" i="2"/>
  <c r="B380" i="2"/>
  <c r="F379" i="2"/>
  <c r="B379" i="2"/>
  <c r="F378" i="2"/>
  <c r="B378" i="2"/>
  <c r="F377" i="2"/>
  <c r="B377" i="2"/>
  <c r="F376" i="2"/>
  <c r="B376" i="2"/>
  <c r="F375" i="2"/>
  <c r="B375" i="2"/>
  <c r="F374" i="2"/>
  <c r="B374" i="2"/>
  <c r="F373" i="2"/>
  <c r="B373" i="2"/>
  <c r="F372" i="2"/>
  <c r="B372" i="2"/>
  <c r="B371" i="2"/>
  <c r="F370" i="2"/>
  <c r="B370" i="2"/>
  <c r="F369" i="2"/>
  <c r="B369" i="2"/>
  <c r="F368" i="2"/>
  <c r="B368" i="2"/>
  <c r="F367" i="2"/>
  <c r="B367" i="2"/>
  <c r="F366" i="2"/>
  <c r="B366" i="2"/>
  <c r="F365" i="2"/>
  <c r="B365" i="2"/>
  <c r="F364" i="2"/>
  <c r="B364" i="2"/>
  <c r="F363" i="2"/>
  <c r="B363" i="2"/>
  <c r="F362" i="2"/>
  <c r="B362" i="2"/>
  <c r="F361" i="2"/>
  <c r="B361" i="2"/>
  <c r="F360" i="2"/>
  <c r="B360" i="2"/>
  <c r="F359" i="2"/>
  <c r="B359" i="2"/>
  <c r="B358" i="2"/>
  <c r="F357" i="2"/>
  <c r="B357" i="2"/>
  <c r="B356" i="2"/>
  <c r="F355" i="2"/>
  <c r="B355" i="2"/>
  <c r="F354" i="2"/>
  <c r="B354" i="2"/>
  <c r="F353" i="2"/>
  <c r="B353" i="2"/>
  <c r="F352" i="2"/>
  <c r="B352" i="2"/>
  <c r="F351" i="2"/>
  <c r="B351" i="2"/>
  <c r="F350" i="2"/>
  <c r="B350" i="2"/>
  <c r="F349" i="2"/>
  <c r="B349" i="2"/>
  <c r="B348" i="2"/>
  <c r="F347" i="2"/>
  <c r="B347" i="2"/>
  <c r="F346" i="2"/>
  <c r="B346" i="2"/>
  <c r="F345" i="2"/>
  <c r="B345" i="2"/>
  <c r="B344" i="2"/>
  <c r="B343" i="2"/>
  <c r="B342" i="2"/>
  <c r="B341" i="2"/>
  <c r="F340" i="2"/>
  <c r="B340" i="2"/>
  <c r="F339" i="2"/>
  <c r="B339" i="2"/>
  <c r="B338" i="2"/>
  <c r="F337" i="2"/>
  <c r="B337" i="2"/>
  <c r="F336" i="2"/>
  <c r="B336" i="2"/>
  <c r="F335" i="2"/>
  <c r="B335" i="2"/>
  <c r="F334" i="2"/>
  <c r="B334" i="2"/>
  <c r="F333" i="2"/>
  <c r="B333" i="2"/>
  <c r="F332" i="2"/>
  <c r="B332" i="2"/>
  <c r="F331" i="2"/>
  <c r="B331" i="2"/>
  <c r="F330" i="2"/>
  <c r="B330" i="2"/>
  <c r="B329" i="2"/>
  <c r="F328" i="2"/>
  <c r="B328" i="2"/>
  <c r="F327" i="2"/>
  <c r="B327" i="2"/>
  <c r="F326" i="2"/>
  <c r="B326" i="2"/>
  <c r="F325" i="2"/>
  <c r="B325" i="2"/>
  <c r="F324" i="2"/>
  <c r="B324" i="2"/>
  <c r="B323" i="2"/>
  <c r="F322" i="2"/>
  <c r="B322" i="2"/>
  <c r="F321" i="2"/>
  <c r="B321" i="2"/>
  <c r="F320" i="2"/>
  <c r="B320" i="2"/>
  <c r="F319" i="2"/>
  <c r="B319" i="2"/>
  <c r="F318" i="2"/>
  <c r="B318" i="2"/>
  <c r="F317" i="2"/>
  <c r="B317" i="2"/>
  <c r="F316" i="2"/>
  <c r="B316" i="2"/>
  <c r="F315" i="2"/>
  <c r="B315" i="2"/>
  <c r="F314" i="2"/>
  <c r="B314" i="2"/>
  <c r="B313" i="2"/>
  <c r="B312" i="2"/>
  <c r="B311" i="2"/>
  <c r="B310" i="2"/>
  <c r="B309" i="2"/>
  <c r="F308" i="2"/>
  <c r="B308" i="2"/>
  <c r="F307" i="2"/>
  <c r="B307" i="2"/>
  <c r="B306" i="2"/>
  <c r="F305" i="2"/>
  <c r="B305" i="2"/>
  <c r="F304" i="2"/>
  <c r="B304" i="2"/>
  <c r="F303" i="2"/>
  <c r="B303" i="2"/>
  <c r="F302" i="2"/>
  <c r="B302" i="2"/>
  <c r="F301" i="2"/>
  <c r="B301" i="2"/>
  <c r="F300" i="2"/>
  <c r="B300" i="2"/>
  <c r="F299" i="2"/>
  <c r="B299" i="2"/>
  <c r="F298" i="2"/>
  <c r="B298" i="2"/>
  <c r="B297" i="2"/>
  <c r="F296" i="2"/>
  <c r="B296" i="2"/>
  <c r="B295" i="2"/>
  <c r="B294" i="2"/>
  <c r="F293" i="2"/>
  <c r="B293" i="2"/>
  <c r="F292" i="2"/>
  <c r="B292" i="2"/>
  <c r="F291" i="2"/>
  <c r="B291" i="2"/>
  <c r="B290" i="2"/>
  <c r="B289" i="2"/>
  <c r="F288" i="2"/>
  <c r="B288" i="2"/>
  <c r="F287" i="2"/>
  <c r="B287" i="2"/>
  <c r="F286" i="2"/>
  <c r="B286" i="2"/>
  <c r="B285" i="2"/>
  <c r="B284" i="2"/>
  <c r="B283" i="2"/>
  <c r="F282" i="2"/>
  <c r="B282" i="2"/>
  <c r="F281" i="2"/>
  <c r="B281" i="2"/>
  <c r="F280" i="2"/>
  <c r="B280" i="2"/>
  <c r="F279" i="2"/>
  <c r="B279" i="2"/>
  <c r="F278" i="2"/>
  <c r="B278" i="2"/>
  <c r="B277" i="2"/>
  <c r="F276" i="2"/>
  <c r="B276" i="2"/>
  <c r="F275" i="2"/>
  <c r="B275" i="2"/>
  <c r="B274" i="2"/>
  <c r="F273" i="2"/>
  <c r="B273" i="2"/>
  <c r="F272" i="2"/>
  <c r="B272" i="2"/>
  <c r="B271" i="2"/>
  <c r="F270" i="2"/>
  <c r="B270" i="2"/>
  <c r="F269" i="2"/>
  <c r="B269" i="2"/>
  <c r="F268" i="2"/>
  <c r="B268" i="2"/>
  <c r="F267" i="2"/>
  <c r="B267" i="2"/>
  <c r="F266" i="2"/>
  <c r="B266" i="2"/>
  <c r="F265" i="2"/>
  <c r="B265" i="2"/>
  <c r="F264" i="2"/>
  <c r="B264" i="2"/>
  <c r="F263" i="2"/>
  <c r="B263" i="2"/>
  <c r="F262" i="2"/>
  <c r="B262" i="2"/>
  <c r="B261" i="2"/>
  <c r="F260" i="2"/>
  <c r="B260" i="2"/>
  <c r="F259" i="2"/>
  <c r="B259" i="2"/>
  <c r="F258" i="2"/>
  <c r="B258" i="2"/>
  <c r="F257" i="2"/>
  <c r="B257" i="2"/>
  <c r="F256" i="2"/>
  <c r="B256" i="2"/>
  <c r="B255" i="2"/>
  <c r="F254" i="2"/>
  <c r="B254" i="2"/>
  <c r="F253" i="2"/>
  <c r="B253" i="2"/>
  <c r="F252" i="2"/>
  <c r="B252" i="2"/>
  <c r="F251" i="2"/>
  <c r="B251" i="2"/>
  <c r="F250" i="2"/>
  <c r="B250" i="2"/>
  <c r="F249" i="2"/>
  <c r="B249" i="2"/>
  <c r="F248" i="2"/>
  <c r="B248" i="2"/>
  <c r="F247" i="2"/>
  <c r="B247" i="2"/>
  <c r="B246" i="2"/>
  <c r="B245" i="2"/>
  <c r="B244" i="2"/>
  <c r="B243" i="2"/>
  <c r="F242" i="2"/>
  <c r="B242" i="2"/>
  <c r="F241" i="2"/>
  <c r="B241" i="2"/>
  <c r="F240" i="2"/>
  <c r="B240" i="2"/>
  <c r="F239" i="2"/>
  <c r="B239" i="2"/>
  <c r="F238" i="2"/>
  <c r="B238" i="2"/>
  <c r="B237" i="2"/>
  <c r="B236" i="2"/>
  <c r="F235" i="2"/>
  <c r="B235" i="2"/>
  <c r="F234" i="2"/>
  <c r="B234" i="2"/>
  <c r="F233" i="2"/>
  <c r="B233" i="2"/>
  <c r="F232" i="2"/>
  <c r="B232" i="2"/>
  <c r="F231" i="2"/>
  <c r="B231" i="2"/>
  <c r="F230" i="2"/>
  <c r="B230" i="2"/>
  <c r="F229" i="2"/>
  <c r="B229" i="2"/>
  <c r="F228" i="2"/>
  <c r="B228" i="2"/>
  <c r="F227" i="2"/>
  <c r="B227" i="2"/>
  <c r="F226" i="2"/>
  <c r="B226" i="2"/>
  <c r="F225" i="2"/>
  <c r="B225" i="2"/>
  <c r="F224" i="2"/>
  <c r="B224" i="2"/>
  <c r="F223" i="2"/>
  <c r="B223" i="2"/>
  <c r="F222" i="2"/>
  <c r="B222" i="2"/>
  <c r="F221" i="2"/>
  <c r="B221" i="2"/>
  <c r="F220" i="2"/>
  <c r="B220" i="2"/>
  <c r="F219" i="2"/>
  <c r="B219" i="2"/>
  <c r="B218" i="2"/>
  <c r="B217" i="2"/>
  <c r="B216" i="2"/>
  <c r="F215" i="2"/>
  <c r="B215" i="2"/>
  <c r="F214" i="2"/>
  <c r="B214" i="2"/>
  <c r="F213" i="2"/>
  <c r="B213" i="2"/>
  <c r="F212" i="2"/>
  <c r="B212" i="2"/>
  <c r="F211" i="2"/>
  <c r="B211" i="2"/>
  <c r="F210" i="2"/>
  <c r="B210" i="2"/>
  <c r="F209" i="2"/>
  <c r="B209" i="2"/>
  <c r="B208" i="2"/>
  <c r="F207" i="2"/>
  <c r="B207" i="2"/>
  <c r="F206" i="2"/>
  <c r="B206" i="2"/>
  <c r="F205" i="2"/>
  <c r="B205" i="2"/>
  <c r="F204" i="2"/>
  <c r="B204" i="2"/>
  <c r="F203" i="2"/>
  <c r="B203" i="2"/>
  <c r="F202" i="2"/>
  <c r="B202" i="2"/>
  <c r="F201" i="2"/>
  <c r="B201" i="2"/>
  <c r="F200" i="2"/>
  <c r="B200" i="2"/>
  <c r="F199" i="2"/>
  <c r="B199" i="2"/>
  <c r="F198" i="2"/>
  <c r="B198" i="2"/>
  <c r="F197" i="2"/>
  <c r="B197" i="2"/>
  <c r="F196" i="2"/>
  <c r="B196" i="2"/>
  <c r="F195" i="2"/>
  <c r="B195" i="2"/>
  <c r="F194" i="2"/>
  <c r="B194" i="2"/>
  <c r="B193" i="2"/>
  <c r="F192" i="2"/>
  <c r="B192" i="2"/>
  <c r="F191" i="2"/>
  <c r="B191" i="2"/>
  <c r="F190" i="2"/>
  <c r="B190" i="2"/>
  <c r="F189" i="2"/>
  <c r="B189" i="2"/>
  <c r="F188" i="2"/>
  <c r="B188" i="2"/>
  <c r="F187" i="2"/>
  <c r="B187" i="2"/>
  <c r="B186" i="2"/>
  <c r="F185" i="2"/>
  <c r="B185" i="2"/>
  <c r="B184" i="2"/>
  <c r="B183" i="2"/>
  <c r="F182" i="2"/>
  <c r="B182" i="2"/>
  <c r="B181" i="2"/>
  <c r="F180" i="2"/>
  <c r="B180" i="2"/>
  <c r="F179" i="2"/>
  <c r="B179" i="2"/>
  <c r="F178" i="2"/>
  <c r="B178" i="2"/>
  <c r="B177" i="2"/>
  <c r="F176" i="2"/>
  <c r="B176" i="2"/>
  <c r="F175" i="2"/>
  <c r="B175" i="2"/>
  <c r="B174" i="2"/>
  <c r="B173" i="2"/>
  <c r="B172" i="2"/>
  <c r="F171" i="2"/>
  <c r="B171" i="2"/>
  <c r="F170" i="2"/>
  <c r="B170" i="2"/>
  <c r="F169" i="2"/>
  <c r="B169" i="2"/>
  <c r="F168" i="2"/>
  <c r="B168" i="2"/>
  <c r="B167" i="2"/>
  <c r="B166" i="2"/>
  <c r="F165" i="2"/>
  <c r="B165" i="2"/>
  <c r="F164" i="2"/>
  <c r="B164" i="2"/>
  <c r="F163" i="2"/>
  <c r="B163" i="2"/>
  <c r="F162" i="2"/>
  <c r="B162" i="2"/>
  <c r="F161" i="2"/>
  <c r="B161" i="2"/>
  <c r="F160" i="2"/>
  <c r="B160" i="2"/>
  <c r="F159" i="2"/>
  <c r="B159" i="2"/>
  <c r="B158" i="2"/>
  <c r="F157" i="2"/>
  <c r="B157" i="2"/>
  <c r="B156" i="2"/>
  <c r="B155" i="2"/>
  <c r="B154" i="2"/>
  <c r="F153" i="2"/>
  <c r="B153" i="2"/>
  <c r="F152" i="2"/>
  <c r="B152" i="2"/>
  <c r="F151" i="2"/>
  <c r="B151" i="2"/>
  <c r="F150" i="2"/>
  <c r="B150" i="2"/>
  <c r="F149" i="2"/>
  <c r="B149" i="2"/>
  <c r="F148" i="2"/>
  <c r="B148" i="2"/>
  <c r="F147" i="2"/>
  <c r="B147" i="2"/>
  <c r="F146" i="2"/>
  <c r="B146" i="2"/>
  <c r="F145" i="2"/>
  <c r="B145" i="2"/>
  <c r="F144" i="2"/>
  <c r="B144" i="2"/>
  <c r="F143" i="2"/>
  <c r="B143" i="2"/>
  <c r="F142" i="2"/>
  <c r="B142" i="2"/>
  <c r="F141" i="2"/>
  <c r="B141" i="2"/>
  <c r="F140" i="2"/>
  <c r="B140" i="2"/>
  <c r="F139" i="2"/>
  <c r="B139" i="2"/>
  <c r="F138" i="2"/>
  <c r="B138" i="2"/>
  <c r="F137" i="2"/>
  <c r="B137" i="2"/>
  <c r="F136" i="2"/>
  <c r="B136" i="2"/>
  <c r="F135" i="2"/>
  <c r="B135" i="2"/>
  <c r="F134" i="2"/>
  <c r="B134" i="2"/>
  <c r="F133" i="2"/>
  <c r="B133" i="2"/>
  <c r="F132" i="2"/>
  <c r="B132" i="2"/>
  <c r="F131" i="2"/>
  <c r="B131" i="2"/>
  <c r="F130" i="2"/>
  <c r="B130" i="2"/>
  <c r="F129" i="2"/>
  <c r="B129" i="2"/>
  <c r="B128" i="2"/>
  <c r="B127" i="2"/>
  <c r="B126" i="2"/>
  <c r="F125" i="2"/>
  <c r="B125" i="2"/>
  <c r="B124" i="2"/>
  <c r="F123" i="2"/>
  <c r="B123" i="2"/>
  <c r="F122" i="2"/>
  <c r="B122" i="2"/>
  <c r="F121" i="2"/>
  <c r="B121" i="2"/>
  <c r="B120" i="2"/>
  <c r="B119" i="2"/>
  <c r="B118" i="2"/>
  <c r="B117" i="2"/>
  <c r="F116" i="2"/>
  <c r="B116" i="2"/>
  <c r="F115" i="2"/>
  <c r="B115" i="2"/>
  <c r="F114" i="2"/>
  <c r="B114" i="2"/>
  <c r="F113" i="2"/>
  <c r="B113" i="2"/>
  <c r="F112" i="2"/>
  <c r="B112" i="2"/>
  <c r="F111" i="2"/>
  <c r="B111" i="2"/>
  <c r="F110" i="2"/>
  <c r="B110" i="2"/>
  <c r="F109" i="2"/>
  <c r="B109" i="2"/>
  <c r="F108" i="2"/>
  <c r="B108" i="2"/>
  <c r="F107" i="2"/>
  <c r="B107" i="2"/>
  <c r="F106" i="2"/>
  <c r="B106" i="2"/>
  <c r="B105" i="2"/>
  <c r="F104" i="2"/>
  <c r="B104" i="2"/>
  <c r="F103" i="2"/>
  <c r="B103" i="2"/>
  <c r="F102" i="2"/>
  <c r="B102" i="2"/>
  <c r="F101" i="2"/>
  <c r="B101" i="2"/>
  <c r="F100" i="2"/>
  <c r="B100" i="2"/>
  <c r="F99" i="2"/>
  <c r="B99" i="2"/>
  <c r="F98" i="2"/>
  <c r="B98" i="2"/>
  <c r="F97" i="2"/>
  <c r="B97" i="2"/>
  <c r="F96" i="2"/>
  <c r="B96" i="2"/>
  <c r="F95" i="2"/>
  <c r="B95" i="2"/>
  <c r="F94" i="2"/>
  <c r="B94" i="2"/>
  <c r="F93" i="2"/>
  <c r="B93" i="2"/>
  <c r="F92" i="2"/>
  <c r="B92" i="2"/>
  <c r="F91" i="2"/>
  <c r="B91" i="2"/>
  <c r="F90" i="2"/>
  <c r="B90" i="2"/>
  <c r="F89" i="2"/>
  <c r="B89" i="2"/>
  <c r="F88" i="2"/>
  <c r="B88" i="2"/>
  <c r="F87" i="2"/>
  <c r="B87" i="2"/>
  <c r="F86" i="2"/>
  <c r="B86" i="2"/>
  <c r="F85" i="2"/>
  <c r="B85" i="2"/>
  <c r="F84" i="2"/>
  <c r="B84" i="2"/>
  <c r="F83" i="2"/>
  <c r="B83" i="2"/>
  <c r="F82" i="2"/>
  <c r="B82" i="2"/>
  <c r="F81" i="2"/>
  <c r="B81" i="2"/>
  <c r="F80" i="2"/>
  <c r="B80" i="2"/>
  <c r="B79" i="2"/>
  <c r="F78" i="2"/>
  <c r="B78" i="2"/>
  <c r="F77" i="2"/>
  <c r="B77" i="2"/>
  <c r="F76" i="2"/>
  <c r="B76" i="2"/>
  <c r="F75" i="2"/>
  <c r="B75" i="2"/>
  <c r="F74" i="2"/>
  <c r="B74" i="2"/>
  <c r="F73" i="2"/>
  <c r="B73" i="2"/>
  <c r="F72" i="2"/>
  <c r="B72" i="2"/>
  <c r="F71" i="2"/>
  <c r="B71" i="2"/>
  <c r="F70" i="2"/>
  <c r="B70" i="2"/>
  <c r="B69" i="2"/>
  <c r="B68" i="2"/>
  <c r="B67" i="2"/>
  <c r="F66" i="2"/>
  <c r="B66" i="2"/>
  <c r="B65" i="2"/>
  <c r="B64" i="2"/>
  <c r="F63" i="2"/>
  <c r="B63" i="2"/>
  <c r="B62" i="2"/>
  <c r="F61" i="2"/>
  <c r="B61" i="2"/>
  <c r="F60" i="2"/>
  <c r="B60" i="2"/>
  <c r="F59" i="2"/>
  <c r="B59" i="2"/>
  <c r="F58" i="2"/>
  <c r="B58" i="2"/>
  <c r="F57" i="2"/>
  <c r="B57" i="2"/>
  <c r="F56" i="2"/>
  <c r="B56" i="2"/>
  <c r="F55" i="2"/>
  <c r="B55" i="2"/>
  <c r="F54" i="2"/>
  <c r="B54" i="2"/>
  <c r="B53" i="2"/>
  <c r="F52" i="2"/>
  <c r="B52" i="2"/>
  <c r="F51" i="2"/>
  <c r="B51" i="2"/>
  <c r="F50" i="2"/>
  <c r="B50" i="2"/>
  <c r="F49" i="2"/>
  <c r="B49" i="2"/>
  <c r="F48" i="2"/>
  <c r="B48" i="2"/>
  <c r="F47" i="2"/>
  <c r="B47" i="2"/>
  <c r="B46" i="2"/>
  <c r="B45" i="2"/>
  <c r="F44" i="2"/>
  <c r="B44" i="2"/>
  <c r="F43" i="2"/>
  <c r="B43" i="2"/>
  <c r="B42" i="2"/>
  <c r="F41" i="2"/>
  <c r="B41" i="2"/>
  <c r="F40" i="2"/>
  <c r="B40" i="2"/>
  <c r="F39" i="2"/>
  <c r="B39" i="2"/>
  <c r="F38" i="2"/>
  <c r="B38" i="2"/>
  <c r="F37" i="2"/>
  <c r="B37" i="2"/>
  <c r="B36" i="2"/>
  <c r="F35" i="2"/>
  <c r="B35" i="2"/>
  <c r="B34" i="2"/>
  <c r="F33" i="2"/>
  <c r="B33" i="2"/>
  <c r="F32" i="2"/>
  <c r="B32" i="2"/>
  <c r="B31" i="2"/>
  <c r="F30" i="2"/>
  <c r="B30" i="2"/>
  <c r="F29" i="2"/>
  <c r="B29" i="2"/>
  <c r="F28" i="2"/>
  <c r="B28" i="2"/>
  <c r="F27" i="2"/>
  <c r="B27" i="2"/>
  <c r="B26" i="2"/>
  <c r="B25" i="2"/>
  <c r="F24" i="2"/>
  <c r="B24" i="2"/>
  <c r="B23" i="2"/>
  <c r="F22" i="2"/>
  <c r="B22" i="2"/>
  <c r="F21" i="2"/>
  <c r="B21" i="2"/>
  <c r="F20" i="2"/>
  <c r="B20" i="2"/>
  <c r="F19" i="2"/>
  <c r="B19" i="2"/>
  <c r="F18" i="2"/>
  <c r="B18" i="2"/>
  <c r="B17" i="2"/>
  <c r="F16" i="2"/>
  <c r="B16" i="2"/>
  <c r="F15" i="2"/>
  <c r="B15" i="2"/>
  <c r="F14" i="2"/>
  <c r="B14" i="2"/>
  <c r="F13" i="2"/>
  <c r="B13" i="2"/>
  <c r="F12" i="2"/>
  <c r="B12" i="2"/>
  <c r="B11" i="2"/>
  <c r="B10" i="2"/>
  <c r="F9" i="2"/>
  <c r="B9" i="2"/>
  <c r="F8" i="2"/>
  <c r="B8" i="2"/>
  <c r="F7" i="2"/>
  <c r="B7" i="2"/>
  <c r="F6" i="2"/>
  <c r="B6" i="2"/>
  <c r="F5" i="2"/>
  <c r="B5" i="2"/>
  <c r="B4" i="2"/>
  <c r="B3" i="2"/>
  <c r="B2" i="2"/>
</calcChain>
</file>

<file path=xl/sharedStrings.xml><?xml version="1.0" encoding="utf-8"?>
<sst xmlns="http://schemas.openxmlformats.org/spreadsheetml/2006/main" count="1576" uniqueCount="508">
  <si>
    <t>Value date</t>
  </si>
  <si>
    <t>Item:</t>
  </si>
  <si>
    <t>Amount</t>
  </si>
  <si>
    <t>31/07/2025</t>
  </si>
  <si>
    <t>13/09/2025</t>
  </si>
  <si>
    <t>24/09/2025</t>
  </si>
  <si>
    <t>24/11/2025</t>
  </si>
  <si>
    <t>26/11/2025</t>
  </si>
  <si>
    <t>14/01/2026</t>
  </si>
  <si>
    <t>19/01/2026</t>
  </si>
  <si>
    <t>29/01/2026</t>
  </si>
  <si>
    <t>25/02/2026</t>
  </si>
  <si>
    <t>26/03/2026</t>
  </si>
  <si>
    <t>31/03/2026</t>
  </si>
  <si>
    <t>17/04/2026</t>
  </si>
  <si>
    <t>27/04/2026</t>
  </si>
  <si>
    <t>30/04/2026</t>
  </si>
  <si>
    <t>14/05/2026</t>
  </si>
  <si>
    <t>23/12/2025</t>
  </si>
  <si>
    <t>Date</t>
  </si>
  <si>
    <t>reason</t>
  </si>
  <si>
    <t>category</t>
  </si>
  <si>
    <t>Type</t>
  </si>
  <si>
    <t>Bills Available</t>
  </si>
  <si>
    <t>Transferencia A Favor De Cesar Augusto Aguirre Torres Concepto: Patient Refund For Cesar Augusto Reference Mg011wh</t>
  </si>
  <si>
    <t>Refund for a PAtient</t>
  </si>
  <si>
    <t>Patient Refund</t>
  </si>
  <si>
    <t>21/05/2025</t>
  </si>
  <si>
    <t>Compra Dublinhealtclinic.com, Dublin, Tarjeta 4176570171221270 , Comision 0,00</t>
  </si>
  <si>
    <t>Dublin Health clinic</t>
  </si>
  <si>
    <t>Single</t>
  </si>
  <si>
    <t>Provider</t>
  </si>
  <si>
    <t>23/05/2025</t>
  </si>
  <si>
    <t>Transferencia A Favor De Tax ? Legal Parteners, S.l.p. Concepto: Registration And Tax Expenses</t>
  </si>
  <si>
    <t>Company Registeration</t>
  </si>
  <si>
    <t>Transfer</t>
  </si>
  <si>
    <t>Expenses</t>
  </si>
  <si>
    <t>28/05/2025</t>
  </si>
  <si>
    <t>Compra Air Doctor, Nicosia, Tarjeta 4176570171221270 , Comision 0,00</t>
  </si>
  <si>
    <t>Air Doctor</t>
  </si>
  <si>
    <t>29/05/2025</t>
  </si>
  <si>
    <t>30/05/2025</t>
  </si>
  <si>
    <t>Compra Air Doctor, Nicosia, Tarjeta 4176570171221270 , Comision 6,31</t>
  </si>
  <si>
    <t>20/06/2025</t>
  </si>
  <si>
    <t>Transferencia A Favor De Bowe Dental Roxboro Concepto: Initial Consultation For Daniele Mg033wh</t>
  </si>
  <si>
    <t>Bowe Dental</t>
  </si>
  <si>
    <t>23/06/2025</t>
  </si>
  <si>
    <t>Transferencia A Favor De Pro Riso Dental Clinic Concepto: Dental Appointment For Sandra Mg0035</t>
  </si>
  <si>
    <t>Pro Dental</t>
  </si>
  <si>
    <t>Trasnfer</t>
  </si>
  <si>
    <t>24/06/2025</t>
  </si>
  <si>
    <t>26/06/2025</t>
  </si>
  <si>
    <t>Compra Air Doctor, Nicosia, Tarjeta 4176570171221270 , Comision 1,06</t>
  </si>
  <si>
    <t>27/06/2025</t>
  </si>
  <si>
    <t>Transferencia A Favor De Dr. Hussain Concepto: Clinic Visit By Dr. Hussain On 27/06/2025 Mg046wh Maria Eugenia</t>
  </si>
  <si>
    <t>Dr Huissen</t>
  </si>
  <si>
    <t>29/06/2025</t>
  </si>
  <si>
    <t>30/06/2025</t>
  </si>
  <si>
    <t>Transferencia A Favor De Dr. Hussain Concepto: Exams By Dr. Hussain On 10/07/2025 Mg055wh Maria Eugenia</t>
  </si>
  <si>
    <t>Compra Cloudways, Amsterdam, Tarjeta 4176570171221270 , Comision 0,36</t>
  </si>
  <si>
    <t>Cloud ways</t>
  </si>
  <si>
    <t>Card</t>
  </si>
  <si>
    <t>18/07/2025</t>
  </si>
  <si>
    <t>Transferencia A Favor De Dr. Hussain Concepto: Payment For Mg054wh, Mg062wh, Mg066wh, And Mg068wh</t>
  </si>
  <si>
    <t>Dr Hussain</t>
  </si>
  <si>
    <t>21/07/2025</t>
  </si>
  <si>
    <t>Compra Doctor365, Dublin 8, Tarjeta 4176570171221270 , Comision 0,00</t>
  </si>
  <si>
    <t>24/07/2025</t>
  </si>
  <si>
    <t>26/07/2025</t>
  </si>
  <si>
    <t>29/07/2025</t>
  </si>
  <si>
    <t>30/07/2025</t>
  </si>
  <si>
    <t>Compra Sumup *doctor 365, Galway, Tarjeta 4176570171221270 , Comision 0,00</t>
  </si>
  <si>
    <t>Doctor 365</t>
  </si>
  <si>
    <t>Outflow</t>
  </si>
  <si>
    <t>Compra Google*gsuite Medguard, Cc Google.com, Tarjeta 4176570171221270 , Comision 0,00</t>
  </si>
  <si>
    <t>Google G suit</t>
  </si>
  <si>
    <t>Compra Doctor247, Ballinasloe, Tarjeta 4176570171221270 , Comision 0,00</t>
  </si>
  <si>
    <t>Doctor 247</t>
  </si>
  <si>
    <t>Transferencia A Favor De Mariusz Kuciak Concepto: Payment For Mg047wh And Mg048wh</t>
  </si>
  <si>
    <t>Dr Mario Ireland</t>
  </si>
  <si>
    <t>Compra Www.messagegp.com, Barkingside, Tarjeta 4176570171221270 , Comision 1,57</t>
  </si>
  <si>
    <t>Message Gp</t>
  </si>
  <si>
    <t>Compra Cloudways, Amsterdam, Tarjeta 4176570171221270 , Comision 0,37</t>
  </si>
  <si>
    <t>Cloudways</t>
  </si>
  <si>
    <t>Compra Doctor365, Togher, Tarjeta 4176570171221270 , Comision 0,00</t>
  </si>
  <si>
    <t>13/08/2025</t>
  </si>
  <si>
    <t>Transferencia A Favor De Dr. Hussain Concepto: Payment For Mg071wh-bill-01, Mg072wh-bill-01, Mg074wh-bill-01, Mg070wh-bill-01, Mg077wh-bill-01, Mg083wh-bill-01, Mg087wh-bill-01, Mg</t>
  </si>
  <si>
    <t>Transferencia A Favor De Pro Riso Dental Clinic Limited Concepto: Payment For Mg051wh-bill-01, Mg075wh-bill-01</t>
  </si>
  <si>
    <t>Pro dental</t>
  </si>
  <si>
    <t>Compra Www.messagegp.com, Barkingside, Tarjeta 4176570171221270 , Comision 1,58</t>
  </si>
  <si>
    <t>Meesage GP</t>
  </si>
  <si>
    <t>Meesage Gp</t>
  </si>
  <si>
    <t>Message GP</t>
  </si>
  <si>
    <t>15/08/2025</t>
  </si>
  <si>
    <t>Compra London Doctors Clinic, London, Tarjeta 4176570171221270 , Comision 7,06</t>
  </si>
  <si>
    <t>London Dr. clinic</t>
  </si>
  <si>
    <t>Compra London Doctors Clinic, London, Tarjeta 4176570171221270 , Comision 4,13</t>
  </si>
  <si>
    <t>London dr clinic</t>
  </si>
  <si>
    <t>19/08/2025</t>
  </si>
  <si>
    <t>Transferencia A Favor De Doctorcall Concepto: Payment For Mg023wh-bill-01, Mg022wh-bill-01</t>
  </si>
  <si>
    <t>Doctor on call</t>
  </si>
  <si>
    <t>20/08/2025</t>
  </si>
  <si>
    <t>21/08/2025</t>
  </si>
  <si>
    <t>25/08/2025</t>
  </si>
  <si>
    <t>26/08/2025</t>
  </si>
  <si>
    <t>Transferencia A Favor De Anastasiia Shalko Concepto: Payment For Mg108wh-bill-01, Mg111wh-bill-01</t>
  </si>
  <si>
    <t>Dr anastassia</t>
  </si>
  <si>
    <t>Transferencia A Favor De Pro Riso Dental Clinic Limited Concepto: Payment For Mg061wh-bill-01</t>
  </si>
  <si>
    <t>27/08/2025</t>
  </si>
  <si>
    <t>Transferencia A Favor De Mariusz Kucia Concepto: Payment For Mg132wh</t>
  </si>
  <si>
    <t>Dr Mario</t>
  </si>
  <si>
    <t>Transferencia A Favor De Mariusz Kuciak Concepto: Another Payment For Mg132wh</t>
  </si>
  <si>
    <t>Dr mario</t>
  </si>
  <si>
    <t>Transferencia A Favor De Mariusz Kucia Concepto: Payment For Mg135wh-bill-01</t>
  </si>
  <si>
    <t>Transferencia A Favor De Martin Harris Concepto: Payment For Mg078wh-bill-01, Mg079wh-bill-01, Mg080wh-bill-01</t>
  </si>
  <si>
    <t>Dr martin harris</t>
  </si>
  <si>
    <t>Google G Suit</t>
  </si>
  <si>
    <t>Compra London Doc* London Doc, London, Tarjeta 4176570171221270 , Comision 3,12</t>
  </si>
  <si>
    <t>Compra Db Foresthill, Croydon, Tarjeta 4176570171221270 , Comision 4,38</t>
  </si>
  <si>
    <t>Frist hill</t>
  </si>
  <si>
    <t>Compra Specsavers, Galway, Tarjeta 4176570171221270 , Comision 0,00</t>
  </si>
  <si>
    <t>Space savers</t>
  </si>
  <si>
    <t>Compra Db Foresthill, Croydon, Tarjeta 4176570171221270 , Comision 1,23</t>
  </si>
  <si>
    <t>Frost hill</t>
  </si>
  <si>
    <t>Compra Momentm Health Limited, Cambridge, Tarjeta 4176570171221270 , Comision 13,85</t>
  </si>
  <si>
    <t>Refunded</t>
  </si>
  <si>
    <t>Transferencia A Favor De Doctor 247 Concepto: Transfer Carried Out By Banco Santander Supernet Empresas</t>
  </si>
  <si>
    <t>Compra Yds York Vt, York, Tarjeta 4176570171221270 , Comision 3,33</t>
  </si>
  <si>
    <t>York Shire Dental</t>
  </si>
  <si>
    <t>14/09/2025</t>
  </si>
  <si>
    <t>16/09/2025</t>
  </si>
  <si>
    <t>Compra Sumup *symbioxis Healthc, Shannon, Tarjeta 4176570171221270 , Comision 0,00</t>
  </si>
  <si>
    <t>Dooctorie</t>
  </si>
  <si>
    <t>17/09/2025</t>
  </si>
  <si>
    <t>Compra Cpd Health Ltd, Saffron Walde, Tarjeta 4176570171221270 , Comision 4,42</t>
  </si>
  <si>
    <t>Cambridge Private</t>
  </si>
  <si>
    <t>18/09/2025</t>
  </si>
  <si>
    <t>Compra Es Doctors, Dublin, Tarjeta 4176570171221270 , Comision 0,00</t>
  </si>
  <si>
    <t>E&amp;S</t>
  </si>
  <si>
    <t>Compra Yds York Vt, York, Tarjeta 4176570171221270 , Comision 4,38</t>
  </si>
  <si>
    <t>19/09/2025</t>
  </si>
  <si>
    <t>Compra Messagegp, London, Tarjeta 4176570171221270 , Comision 9,47</t>
  </si>
  <si>
    <t>23/09/2025</t>
  </si>
  <si>
    <t>Compra London Doc* London Doc, London, Tarjeta 4176570171221270 , Comision 3,45</t>
  </si>
  <si>
    <t>25/09/2025</t>
  </si>
  <si>
    <t>Compra Prestazione Medica, Roma, Tarjeta 4176570171221270 , Comision 0,00</t>
  </si>
  <si>
    <t>Ready Help</t>
  </si>
  <si>
    <t>27/09/2025</t>
  </si>
  <si>
    <t>Compra Air Doctor, Nicosia, Tarjeta 4176570171221270 , Comision 9,75</t>
  </si>
  <si>
    <t>30/09/2025</t>
  </si>
  <si>
    <t>Compra London Doctors Clinic, London, Tarjeta 4176570171221270 , Comision 3,45</t>
  </si>
  <si>
    <t>Transferencia A Favor De Dfive Concepto: 4 Invoices F250762, F250639, F260868, And F250985</t>
  </si>
  <si>
    <t>Lawyer</t>
  </si>
  <si>
    <t>G suit</t>
  </si>
  <si>
    <t>Compra Dental Wellness Cork, Cork, Tarjeta 4176570171221270 , Comision 0,00</t>
  </si>
  <si>
    <t>Wellnes</t>
  </si>
  <si>
    <t>Compra Telefonica En Clinica Dental, Madrid, Tarj. :*221270</t>
  </si>
  <si>
    <t>Centro Dental Smilling</t>
  </si>
  <si>
    <t>Transferencia A Favor De Nart Molina Sl Concepto: Payment For Mg196wh-bill-01</t>
  </si>
  <si>
    <t>Nart Molina</t>
  </si>
  <si>
    <t>Transferencia A Favor De Daniel Cuenca Leal Concepto: Payment For Mg191wh-bill-01, Mg194wh-bill-01, Mg204wh-bill-01, Mg211wh-bill-01, Mg218wh-bill-01, Mg219wh-bill-01, Mg224wh-bill</t>
  </si>
  <si>
    <t>Daniel Cuenca</t>
  </si>
  <si>
    <t>Transferencia A Favor De Doctor 247 Concepto: Payment For Mg168wh-bill-01, Mg176wh-bill-01, Mg186wh-bill-01, Mg190wh-bill-01, Mg192wh-bill-01, Mg197wh-bill-01, Mg200wh-bill-01, Mg2</t>
  </si>
  <si>
    <t>Transferencia A Favor De Anastasiia Shalko Concepto: Payment For Mg158wh-bill-01, Mg160wh-bill-01, Mg157wh-bill-01, Mg183wh-bill-01, Mg184wh-bill-01, Mg198wh-bill-01, Mg230wh-bill-</t>
  </si>
  <si>
    <t xml:space="preserve">Dr Anastassia </t>
  </si>
  <si>
    <t>Compra Gate Dental Clinic, Galway, Tarjeta 4176570171221270 , Comision 0,00</t>
  </si>
  <si>
    <t>Gate dental Galway</t>
  </si>
  <si>
    <t>Compra London Doc* London Doc, London, Tarjeta 4176570171221270 , Comision 3,47</t>
  </si>
  <si>
    <t>London doctor clinic</t>
  </si>
  <si>
    <t>13/10/2025</t>
  </si>
  <si>
    <t>Transferencia A Favor De Sharl Hany, Referencia: 0049 5160 696 0058353</t>
  </si>
  <si>
    <t>Rent 1</t>
  </si>
  <si>
    <t>Rent</t>
  </si>
  <si>
    <t>Compra Air Doctor, Nicosia, Tarjeta 4176570171221270 , Comision 10,78</t>
  </si>
  <si>
    <t>Transferencia A Favor De Malcolm Sant Concepto: Payment For Mg242wh-bill-01, Mg252wh-bill-01</t>
  </si>
  <si>
    <t>Dr Malcom</t>
  </si>
  <si>
    <t>Transferencia A Favor De Carolina Esposito Concepto: Payment For Mg179wh-bill-01</t>
  </si>
  <si>
    <t>Dr Carolina</t>
  </si>
  <si>
    <t>Transferencia A Favor De Dr Kevin Navarro Concepto: Payment For Mg206wh-bill-01, Mg215wh-bill-01</t>
  </si>
  <si>
    <t>Dr Kevin</t>
  </si>
  <si>
    <t>14/10/2025</t>
  </si>
  <si>
    <t>15/10/2025</t>
  </si>
  <si>
    <t>Compra London Doctors Clinic, London, Tarjeta 4176570171221270 , Comision 11,56</t>
  </si>
  <si>
    <t>London Doctors clinic</t>
  </si>
  <si>
    <t>16/10/2025</t>
  </si>
  <si>
    <t>17/10/2025</t>
  </si>
  <si>
    <t>Compra Grand Parade Dental Cli, Cork, Tarjeta 4176570171221270 , Comision 0,00</t>
  </si>
  <si>
    <t>Grand Parade Dental</t>
  </si>
  <si>
    <t>18/10/2025</t>
  </si>
  <si>
    <t>21/10/2025</t>
  </si>
  <si>
    <t>22/10/2025</t>
  </si>
  <si>
    <t>23/10/2025</t>
  </si>
  <si>
    <t>London doctors clinic</t>
  </si>
  <si>
    <t>24/10/2025</t>
  </si>
  <si>
    <t>27/10/2025</t>
  </si>
  <si>
    <t>28/10/2025</t>
  </si>
  <si>
    <t>29/10/2025</t>
  </si>
  <si>
    <t>30/10/2025</t>
  </si>
  <si>
    <t>Compra Air Doctor, Nicosia, Tarjeta 4176570171221270 , Comision 6,06</t>
  </si>
  <si>
    <t>Transferencia A Favor De Doctorcall Concepto: Payment For Mg152wh-bill-01, Mg210wh-bill-01, Mg213wh-bill-01</t>
  </si>
  <si>
    <t>Doctor call</t>
  </si>
  <si>
    <t>Transferencia A Favor De Daniel Cuenca Leal Concepto: Payment For Mg240wh-bill-01, Mg256wh-bill-01, Mg271wh-bill-01 And 2 More</t>
  </si>
  <si>
    <t>Dr daniel</t>
  </si>
  <si>
    <t>Transferencia A Favor De Pro Riso Dental Clinic Limited Concepto: Payment For Mg216wh-bill-01, Mg229wh-bill-01, Mg234wh-bill-01 And Mg237wh</t>
  </si>
  <si>
    <t>Compra Www.highstreetdental.c, Bristol, Tarjeta 4176570171221270 , Comision 2,42</t>
  </si>
  <si>
    <t>High Street Dental</t>
  </si>
  <si>
    <t>Transferencia A Favor De Sharl Hany, Referencia: 0049 5160 696 0058791</t>
  </si>
  <si>
    <t>Rent 2</t>
  </si>
  <si>
    <t>Compra Www.messagegp.com, Barkingside, Tarjeta 4176570171221270 , Comision 10,00</t>
  </si>
  <si>
    <t>Message gp</t>
  </si>
  <si>
    <t>Compra Medhub, Cork City Cen, Tarjeta 4176570171221270 , Comision 0,00</t>
  </si>
  <si>
    <t>Med Hub</t>
  </si>
  <si>
    <t>Compra Dooctor.ie Swords, Swords, Tarjeta 4176570171221270 , Comision 0,00</t>
  </si>
  <si>
    <t>Dr ie</t>
  </si>
  <si>
    <t>Transferencia A Favor De Dr. Hussain Concepto: Payment For Mg264wh-bill-01, Mg274wh-bill-01</t>
  </si>
  <si>
    <t>Transferencia A Favor De Anastasiia Shalko Concepto: Payment For Mg230wh-bill-01, Mg231wh-bill-01</t>
  </si>
  <si>
    <t>Dr Anastassia</t>
  </si>
  <si>
    <t>13/11/2025</t>
  </si>
  <si>
    <t>15/11/2025</t>
  </si>
  <si>
    <t>Compra Liffey Medical, Dublin, Tarjeta 4176570171221270 , Comision 0,00</t>
  </si>
  <si>
    <t>Liffey</t>
  </si>
  <si>
    <t>19/11/2025</t>
  </si>
  <si>
    <t>23/11/2025</t>
  </si>
  <si>
    <t>Compra Medical Diagnostic Ultras, Limerick, Tarjeta 4176570171221270 , Comision 0,00</t>
  </si>
  <si>
    <t>**Blackrock</t>
  </si>
  <si>
    <t>Transferencia A Favor De Healthcare 3k Limited Concepto: Sent By Banco Santander</t>
  </si>
  <si>
    <t>Regent Street</t>
  </si>
  <si>
    <t>Transferencia A Favor De Doctor 247 Concepto: Payment For 17 Bills</t>
  </si>
  <si>
    <t>Transferencia A Favor De Malcom Sant Concepto: Payment For Mg276wh-bill-01</t>
  </si>
  <si>
    <t>25/11/2025</t>
  </si>
  <si>
    <t>Transferencia A Favor De Pro Riso Dental Clinic Limited Concepto: Payment For Mg247wh-bill-01, Mg281wh-bill-01, Mg295wh-bill-01, Mg323wh-bill-01, Mg007he-bill-01, Mg009he-bill-01,</t>
  </si>
  <si>
    <t>Compra Consult. Med. Urg. Ud., Paris 08, Tarjeta 4176570171221270 , Comision 0,00</t>
  </si>
  <si>
    <t>American Hospital in Paris</t>
  </si>
  <si>
    <t>28/11/2025</t>
  </si>
  <si>
    <t>Transferencia A Favor De Upmc Sport Surgery Clinic Ltd Concepto: Payment For Mg003ca</t>
  </si>
  <si>
    <t>Upmc</t>
  </si>
  <si>
    <t>Transferencia A Favor De Sharl Hany, Referencia: 0049 5160 696 0059178</t>
  </si>
  <si>
    <t>Rent 3</t>
  </si>
  <si>
    <t>Transferencia A Favor De D Five Concepto: F2501219, F2501102</t>
  </si>
  <si>
    <t>Compra Google*workspace Medgu, Cc Google.com, Tarjeta 4176570171221270 , Comision 0,00</t>
  </si>
  <si>
    <t>Transferencia A Favor De Upmc Sports Surgery Clinic Ltd Concepto: X-ray For Luciano Nicolás Quiroga</t>
  </si>
  <si>
    <t>Compra Mayfield Clinic, Oxford, Tarjeta 4176570171221270 , Comision 7,63</t>
  </si>
  <si>
    <t>Mayfield</t>
  </si>
  <si>
    <t>Compra Premier Private Gp, Camberley, Tarjeta 4176570171221270 , Comision 4,68</t>
  </si>
  <si>
    <t>Premier private</t>
  </si>
  <si>
    <t>Compra Private Medical Clinic, Birmingham, Tarjeta 4176570171221270 , Comision 3,29</t>
  </si>
  <si>
    <t>Private medical</t>
  </si>
  <si>
    <t>Compra Smiles, Dublin 1, Tarjeta 4176570171221270 , Comision 0,00</t>
  </si>
  <si>
    <t>Smiles dubline</t>
  </si>
  <si>
    <t>Transferencia A Favor De Mater Misericordiae University Hospital Concepto: Payment For Mg024he-bill-01</t>
  </si>
  <si>
    <t>Mater university****</t>
  </si>
  <si>
    <t>Smiles dublin</t>
  </si>
  <si>
    <t>Compra Dooctor.ie Limerick, Limerick, Tarjeta 4176570171221270 , Comision 0,00</t>
  </si>
  <si>
    <t>Dooctor ie</t>
  </si>
  <si>
    <t xml:space="preserve"> Cloudways</t>
  </si>
  <si>
    <t>Compra Olive Tree Dental, Reading, Tarjeta 4176570171221270 , Comision 2,75</t>
  </si>
  <si>
    <t>Olive tree dental</t>
  </si>
  <si>
    <t>MedHub</t>
  </si>
  <si>
    <t>Compra Bowe Private Dental, Limerick City, Tarjeta 4176570171221270 , Comision 0,00</t>
  </si>
  <si>
    <t>Bowe dental</t>
  </si>
  <si>
    <t>Transferencia A Favor De Pmc Sports Surgery Clinic Ltd Concepto: Payment For Mg004ca-bill-01 On 10/12/2025 Patient Luciano Nicolas</t>
  </si>
  <si>
    <t>UPMC Sport</t>
  </si>
  <si>
    <t>Compra Warwickshireprivat* Gp, Stoneleigh, Tarjeta 4176570171221270 , Comision 5,56</t>
  </si>
  <si>
    <t>Nuffield Warwickshire</t>
  </si>
  <si>
    <t>Compra Telefonica En Unidad Medica, Madrid, Tarj. :*221270</t>
  </si>
  <si>
    <t>14/12/2025</t>
  </si>
  <si>
    <t>15/12/2025</t>
  </si>
  <si>
    <t>Transferencia A Favor De Doctorcall Concepto: Payment For Mg227wh-bill-01, Mg251wh-bill-01, Mg287wh-bill-01, Mg292wh-bill-01</t>
  </si>
  <si>
    <t>Transferencia A Favor De Malcolm Sant Concepto: Payment For Mg305wh, Mg327wh, Mg335wh, Mg352wh</t>
  </si>
  <si>
    <t>Dr malcom</t>
  </si>
  <si>
    <t>Transferencia A Favor De Cpd Health Ltd Concepto: Payment For Mg004he-bill-01</t>
  </si>
  <si>
    <t>16/12/2025</t>
  </si>
  <si>
    <t>17/12/2025</t>
  </si>
  <si>
    <t>American Hospotal in PAris</t>
  </si>
  <si>
    <t>Compra Google*cloud 4ppfz9, Cc Google.com, Tarjeta 4176570171221270 , Comision 0,00</t>
  </si>
  <si>
    <t>18/12/2025</t>
  </si>
  <si>
    <t>20/12/2025</t>
  </si>
  <si>
    <t>Compra Premier Private Gp, Camberley, Tarjeta 4176570171221270 , Comision 3,82</t>
  </si>
  <si>
    <t>Premiere private</t>
  </si>
  <si>
    <t>21/12/2025</t>
  </si>
  <si>
    <t>Compra Private Medical Clinic, Birmingham, Tarjeta 4176570171221270 , Comision 3,30</t>
  </si>
  <si>
    <t>24/12/2025</t>
  </si>
  <si>
    <t>Compra Killarney Gp, Killarney, Tarjeta 4176570171221270 , Comision 0,00</t>
  </si>
  <si>
    <t>Killarney</t>
  </si>
  <si>
    <t>25/12/2025</t>
  </si>
  <si>
    <t>27/12/2025</t>
  </si>
  <si>
    <t>Compra Google*cloud B7gctd, Cc Google.com, Tarjeta 4176570171221270 , Comision 0,00</t>
  </si>
  <si>
    <t>31/12/2025</t>
  </si>
  <si>
    <t>Compra Google*cloud 4jwtcz, Cc Google.com, Tarjeta 4176570171221270 , Comision 0,00</t>
  </si>
  <si>
    <t>Google g suit</t>
  </si>
  <si>
    <t>Compra Google *svcsmedguarda., G.co/helppayñ, Tarjeta 4176570171221270 , Comision 0,00</t>
  </si>
  <si>
    <t>Transferencia A Favor De Sharl Hany, Referencia: 0049 5160 696 0059770</t>
  </si>
  <si>
    <t>Rent 4/5</t>
  </si>
  <si>
    <t>Transferencia A Favor De Sharl Hany Moner Benyamen Concepto: Returning Funds</t>
  </si>
  <si>
    <t>Return funds</t>
  </si>
  <si>
    <t>Refund Amount</t>
  </si>
  <si>
    <t>Compra Gpdoc Medical Centre, Dublin, Tarjeta 4176570171221270 , Comision 0,00</t>
  </si>
  <si>
    <t>GPDOC Medical Center</t>
  </si>
  <si>
    <t>Transferencia A Favor De Healthcare 3k Limited T/as Regent Street Concepto: Payment For Mg338wh-bill-01, Mg341wh-bill-01, Mg340wh-bill-01 And 2 More</t>
  </si>
  <si>
    <t>Transferencia A Favor De M Abbas Syed Concepto: Payment For Mg010go-bill-01, Mg069he-bill-01, And 2 More</t>
  </si>
  <si>
    <t>M abbas</t>
  </si>
  <si>
    <t>Transferencia A Favor De Malcolm Sant Concepto: Payment For Mg363wh-bill-01, Mg365wh-bill-01, Mg368wh-bill-01</t>
  </si>
  <si>
    <t>Malcom</t>
  </si>
  <si>
    <t>Transferencia A Favor De Anastasiia Shalko Concepto: Payment For Mg319wh-bill-01, Mg328wh-bill-01, Mg347wh-bill-01 And 4 More</t>
  </si>
  <si>
    <t>Anastasiia</t>
  </si>
  <si>
    <t>Compra Bayswater Dental, East Sussex,, Tarjeta 4176570171221270 , Comision 1,72</t>
  </si>
  <si>
    <t xml:space="preserve"> Ayswater</t>
  </si>
  <si>
    <t>Compra Cpd Health Ltd, Saffron Walde, Tarjeta 4176570171221270 , Comision 4,41</t>
  </si>
  <si>
    <t>Compra Paymed Voxpay, Champagne Au, Tarjeta 4176570171221270 , Comision 0,00</t>
  </si>
  <si>
    <t>Transferencia A Favor De Inhealth Limited, Referencia: 0049 5160 696 0059893</t>
  </si>
  <si>
    <t>13/01/2026</t>
  </si>
  <si>
    <t>Compra Google Cloud Zpvtvg, Dublin, Tarjeta 4176570171221270 , Comision 0,00</t>
  </si>
  <si>
    <t>Transferencia A Favor De Turo Clinics Concepto: Fabiola Valentina</t>
  </si>
  <si>
    <t>Turo</t>
  </si>
  <si>
    <t>Gqte dental galwY</t>
  </si>
  <si>
    <t>15/01/2026</t>
  </si>
  <si>
    <t>Compra Liffeymedical, Dublin, Tarjeta 4176570171221270 , Comision 0,00</t>
  </si>
  <si>
    <t>16/01/2026</t>
  </si>
  <si>
    <t>Compra Aura Dental Sandy, Sandy, Tarjeta 4176570171221270 , Comision 3,33</t>
  </si>
  <si>
    <t>Aura dental</t>
  </si>
  <si>
    <t>Compra My Dentist Dtmf, Manchester, Tarjeta 4176570171221270 , Comision 2,77</t>
  </si>
  <si>
    <t>My dentist</t>
  </si>
  <si>
    <t>Compra La Ponsetia Arte Flo 02, Madrid, Tarjeta 4176570171221270 , Comision 0,00</t>
  </si>
  <si>
    <t>17/01/2026</t>
  </si>
  <si>
    <t>Pago Movil En Taxi Lic. 08903, Madrid, Tarj. :*221270</t>
  </si>
  <si>
    <t>Transferencia A Favor De Sharl Hany Concepto: Refund</t>
  </si>
  <si>
    <t>20/01/2026</t>
  </si>
  <si>
    <t>Compra Pasteleria Mallorca, Madrid, Tarjeta 4176570171221270 , Comision 0,00</t>
  </si>
  <si>
    <t>28/01/2026</t>
  </si>
  <si>
    <t>Transferencia A Favor De Anne Benhamou Concepto: Payment For Mg119he-bill-01, Mg129he-bill-01</t>
  </si>
  <si>
    <t>Dr anne dental</t>
  </si>
  <si>
    <t>30/01/2026</t>
  </si>
  <si>
    <t>Transferencia A Favor De Sharl Hany, Referencia: 0049 5160 696 0060245</t>
  </si>
  <si>
    <t>Rent 5</t>
  </si>
  <si>
    <t>31/01/2026</t>
  </si>
  <si>
    <t>Compra Bayswater Dental, East Sussex,, Tarjeta 4176570171221270 , Comision 0,00</t>
  </si>
  <si>
    <t>Bayswater dental</t>
  </si>
  <si>
    <t>Compra Google Cloud Fddgxh, Dublin, Tarjeta 4176570171221270 , Comision 0,00</t>
  </si>
  <si>
    <t>Compra Google Workspace_medguard, Dublin, Tarjeta 4176570171221270 , Comision 0,00</t>
  </si>
  <si>
    <t>Transferencia A Favor De Healthcare 3k Limited, Referencia: 0049 5160 696 0060347</t>
  </si>
  <si>
    <t>Transferencia A Favor De Doctor 247 Concepto: Payment For 10 Bills</t>
  </si>
  <si>
    <t>Transferencia A Favor De Yourgb, Referencia: 0049 5160 696 0060346</t>
  </si>
  <si>
    <t>Your Gp</t>
  </si>
  <si>
    <t>Compra Aura Dental Sandy, Sandy, Tarjeta 4176570171221270 , Comision 6,86</t>
  </si>
  <si>
    <t>Compra Town Dental, T12d7tx, Tarjeta 4176570171221270 , Comision 0,00</t>
  </si>
  <si>
    <t>Town dental</t>
  </si>
  <si>
    <t>Transferencia A Favor De Doctorcall Concepto: Payment For Mg292wh-bill-01</t>
  </si>
  <si>
    <t>Transferencia A Favor De Black Rock Health Concepto: Payment For Camila Francisca</t>
  </si>
  <si>
    <t>Black rock</t>
  </si>
  <si>
    <t>Compra Dooctor.ie Carrigtwohill, Carrigtwohill, Tarjeta 4176570171221270 , Comision 0,00</t>
  </si>
  <si>
    <t>Compra Bayswater Dental Practic, Https://www.b, Tarjeta 4176570171221270 , Comision 10,32</t>
  </si>
  <si>
    <t>Transferencia A Favor De Sharl Hany Concepto: Refund Of The Company</t>
  </si>
  <si>
    <t>Transferencia A Favor De Dfive Concepto: F2501343 &amp; F260094</t>
  </si>
  <si>
    <t>Transferencia A Favor De Nuff Heal Warwickshi, Referencia: 0049 5160 696 0060489</t>
  </si>
  <si>
    <t>Nuffields</t>
  </si>
  <si>
    <t>Compra Cuh Patient Accounts, Cork, Tarjeta 4176570171221270 , Comision 0,00</t>
  </si>
  <si>
    <t>Compra Medserv, Terenure, Tarjeta 4176570171221270 , Comision 0,00</t>
  </si>
  <si>
    <t>17/02/2026</t>
  </si>
  <si>
    <t>18/02/2026</t>
  </si>
  <si>
    <t>Compra Carlowdentalcentre, Carlow, Tarjeta 4176570171221270 , Comision 0,00</t>
  </si>
  <si>
    <t>Carlow dental</t>
  </si>
  <si>
    <t>19/02/2026</t>
  </si>
  <si>
    <t>20/02/2026</t>
  </si>
  <si>
    <t>Transferencia Inmediata A Favor De Elisa Rossi Concepto Mg326wh Bill</t>
  </si>
  <si>
    <t>326WH Bill</t>
  </si>
  <si>
    <t>21/02/2026</t>
  </si>
  <si>
    <t>Compra Carlow Dental Centre 02, Graiguecullen, Tarjeta 4176570171221270 , Comision 0,00</t>
  </si>
  <si>
    <t>23/02/2026</t>
  </si>
  <si>
    <t>Compra Premier Private Gp, Camberley, Tarjeta 4176570171221270 , Comision 30,40</t>
  </si>
  <si>
    <t>Transferencia A Favor De Malcom Sant Concepto: Payment For Mg381wh-bill-01, Mg387wh-bill-01, Mg396wh-bill-01</t>
  </si>
  <si>
    <t>Transferencia A Favor De Gustavo Olmedo Concepto: Mg017go-bill-01</t>
  </si>
  <si>
    <t>Gustavo</t>
  </si>
  <si>
    <t>Transferencia A Favor De Carilina Esposito Concepto: Payment For Mg382wh-bill-01</t>
  </si>
  <si>
    <t>Carolina</t>
  </si>
  <si>
    <t>24/02/2026</t>
  </si>
  <si>
    <t>Transferencia A Favor De Sharl Hany, Referencia: 0049 5160 696 0060679</t>
  </si>
  <si>
    <t>Rent 6</t>
  </si>
  <si>
    <t>Transferencia A Favor De Dooctorie Concepto: Payment For Mg397wh-bill-01, Mg057he-bill-01, Mg403wh-bill-01 And 9 More</t>
  </si>
  <si>
    <t>Doctorie</t>
  </si>
  <si>
    <t>Gate dental</t>
  </si>
  <si>
    <t>28/02/2026</t>
  </si>
  <si>
    <t>Compra Regent Street Clinic, Nottingham, Tarjeta 4176570171221270 , Comision 21,53</t>
  </si>
  <si>
    <t>Compra Regent Street Clinic, Nottingham, Tarjeta 4176570171221270 , Comision 9,55</t>
  </si>
  <si>
    <t>Compra Regent Street Clinic, Nottingham, Tarjeta 4176570171221270 , Comision 1,56</t>
  </si>
  <si>
    <t>Transferencia A Favor De Sharl Hany, Referencia: 0049 5160 696 0060840</t>
  </si>
  <si>
    <t>Rent 7</t>
  </si>
  <si>
    <t>Compra Revolut**7951*, Dublin, Tarjeta 4176570171221270 , Comision 0,00</t>
  </si>
  <si>
    <t>Compra Regent Street Clinic, Nottingham, Tarjeta 4176570171221270 , Comision 1,57</t>
  </si>
  <si>
    <t>E&amp;E</t>
  </si>
  <si>
    <t>Compra Doctor365, Douglas, Tarjeta 4176570171221270 , Comision 0,00</t>
  </si>
  <si>
    <t>Transferencia A Favor De M Abbas Syed Concepto: Payment For Mg084he-bill-01, Mg420wh-bill-01, Mg016la-bill-01 And 7 More</t>
  </si>
  <si>
    <t>Dr Abbas</t>
  </si>
  <si>
    <t>Compra Private Medical Clinic, Birmingham, Tarjeta 4176570171221270 , Comision 18,05</t>
  </si>
  <si>
    <t>Private Premiere</t>
  </si>
  <si>
    <t>Compra Window To The Womb, Bristol, Tarjeta 4176570171221270 , Comision 3,68</t>
  </si>
  <si>
    <t>Compra Samedaydoctor Manchest, Manchester, Tarjeta 4176570171221270 , Comision 3,51</t>
  </si>
  <si>
    <t>Sameday Dcotor</t>
  </si>
  <si>
    <t>Compra Private Medical Clinic, Birmingham, Tarjeta 4176570171221270 , Comision 3,33</t>
  </si>
  <si>
    <t>Private Medical</t>
  </si>
  <si>
    <t>Bayswater Dental</t>
  </si>
  <si>
    <t>Compra Pearldental, 21388148, Tarjeta 4176570171221270 , Comision 0,00</t>
  </si>
  <si>
    <t>Pearl Dental</t>
  </si>
  <si>
    <t>Transferencia A Favor De Malcolm Sant Concepto: Payment For Mg482wh-bill-01, Mg488wh-bill-01, Mg489wh-bill-01</t>
  </si>
  <si>
    <t>Compra Regent Street Clinic, Nottingham, Tarjeta 4176570171221270 , Comision 10,18</t>
  </si>
  <si>
    <t>Compra Regent Street Clinic, Nottingham, Tarjeta 4176570171221270 , Comision 9,66</t>
  </si>
  <si>
    <t>Transferencia A Favor De Dr. Kevin Navarro Concepto: Payment For Mg163he-bill-01, Mg516wh-bill-01, Mg533wh-bill-01 And 1 More</t>
  </si>
  <si>
    <t>Transferencia A Favor De Anastasiia Shalko Concepto: Payment For Mg467wh-bill-01, Mg483wh-bill-01, Mg485wh-bill-01, Mg507wh-bill-01, Mg519wh-bill-01</t>
  </si>
  <si>
    <t>Dr Anastasiia</t>
  </si>
  <si>
    <t>Transferencia A Favor De Doctor 247 Concepto: Payment For Mg383wh-bill-01, Mg391wh-bill-01, Mg394wh-bill-01 And 1 More</t>
  </si>
  <si>
    <t>Transferencia A Favor De Sharl Hany, Referencia: 0049 5160 696 0060972</t>
  </si>
  <si>
    <t>Rent 8</t>
  </si>
  <si>
    <t>Compra Regent Street Clinic, Nottingham, Tarjeta 4176570171221270 , Comision 11,26</t>
  </si>
  <si>
    <t>16/03/2026</t>
  </si>
  <si>
    <t>Transferencia A Favor De Mater Misericordiae University Hospital Concepto: Invoice No. 1227619, 1231315</t>
  </si>
  <si>
    <t>Mater University</t>
  </si>
  <si>
    <t>Compra Regent Street Clinic, Nottingham, Tarjeta 4176570171221270 , Comision 1,58</t>
  </si>
  <si>
    <t>17/03/2026</t>
  </si>
  <si>
    <t>Compra Sumup *text A Doc247, Dublin, Tarjeta 4176570171221270 , Comision 0,00</t>
  </si>
  <si>
    <t>Dr. hussain</t>
  </si>
  <si>
    <t>19/03/2026</t>
  </si>
  <si>
    <t>Compra Limerick Clinic, Limerick, Tarjeta 4176570171221270 , Comision 0,00</t>
  </si>
  <si>
    <t>365 Limerick</t>
  </si>
  <si>
    <t>Transferencia A Favor De Dr. Daniel Cuenca Concepto: Payment For Mg290wh-bill-01, Mg301wh-bill-01, Mg304wh-bill-01, Mg311wh-bill-01, Mg477wh-bill-01, Mg476wh-bill-01, Mg476wh-bill-</t>
  </si>
  <si>
    <t>Dr. Daniel</t>
  </si>
  <si>
    <t>20/03/2026</t>
  </si>
  <si>
    <t>Transferencia A Favor De Pro Riso Dental Concepto: Payment For Mg295wh, Mg009he, Mg011he, Mg008ca, Mg492wh, Mg532wh, Mg187he, Mg026ca, Mg189he</t>
  </si>
  <si>
    <t>23/03/2026</t>
  </si>
  <si>
    <t>Compra Regent Street Clinic, Nottingham, Tarjeta 4176570171221270 , Comision 11,27</t>
  </si>
  <si>
    <t>Compra Regent Street Clinic, Nottingham, Tarjeta 4176570171221270 , Comision 3,70</t>
  </si>
  <si>
    <t>Compra Regent Street Clinic, Nottingham, Tarjeta 4176570171221270 , Comision 3,52</t>
  </si>
  <si>
    <t>Compra Regent Street Clinic, Nottingham, Tarjeta 4176570171221270 , Comision 3,35</t>
  </si>
  <si>
    <t>25/03/2026</t>
  </si>
  <si>
    <t>Compra Regent Street Clinic, Nottingham, Tarjeta 4176570171221270 , Comision 17,22</t>
  </si>
  <si>
    <t>Compra Private Medical Clinic, Birmingham, Tarjeta 4176570171221270 , Comision 7,73</t>
  </si>
  <si>
    <t>Transferencia A Favor De Sharl Hany, Referencia: 0049 5160 696 0061193</t>
  </si>
  <si>
    <t>Rent 9</t>
  </si>
  <si>
    <t>27/03/2026</t>
  </si>
  <si>
    <t>Compra Cpd Health Ltd, Saffron Walde, Tarjeta 4176570171221270 , Comision 5,76</t>
  </si>
  <si>
    <t>30/03/2026</t>
  </si>
  <si>
    <t>Compra Regent Street Clinic, Nottingham, Tarjeta 4176570171221270 , Comision 6,85</t>
  </si>
  <si>
    <t>Compra Regent Street Clinic, Nottingham, Tarjeta 4176570171221270 , Comision 6,32</t>
  </si>
  <si>
    <t>Compra Regent Street Clinic, Nottingham, Tarjeta 4176570171221270 , Comision 3,34</t>
  </si>
  <si>
    <t>Compra Regent Street Clinic, Nottingham, Tarjeta 4176570171221270 , Comision 17,34</t>
  </si>
  <si>
    <t>Compra Regent Street Clinic, Nottingham, Tarjeta 4176570171221270 , Comision 4,38</t>
  </si>
  <si>
    <t>Compra Kildare Dental Centre, Kildare, Tarjeta 4176570171221270 , Comision 0,00</t>
  </si>
  <si>
    <t>Kildate Dental</t>
  </si>
  <si>
    <t>G Suit</t>
  </si>
  <si>
    <t>MEssage GP</t>
  </si>
  <si>
    <t>Transferencia A Favor De M Abbas Syed Concepto: Payment For Mg148he, Mg167he, Mg169he, Mg025go, Mg026go, Mg020la, Mg028go, Mg201he, Mg206he, Mg029go</t>
  </si>
  <si>
    <t>Compra Regent Street Clinic, Nottingham, Tarjeta 4176570171221270 , Comision 13,60</t>
  </si>
  <si>
    <t>Compra Private Medical Clinic, Birmingham, Tarjeta 4176570171221270 , Comision 10,98</t>
  </si>
  <si>
    <t>Transferencia A Favor De Dooctor.ie Concepto: Payment For Mg405wh, Mg075he, Mg166he</t>
  </si>
  <si>
    <t>13/04/2026</t>
  </si>
  <si>
    <t>Milare dental</t>
  </si>
  <si>
    <t>14/04/2026</t>
  </si>
  <si>
    <t>Compra Doctor 365 01, Cavan, Tarjeta 4176570171221270 , Comision 0,00</t>
  </si>
  <si>
    <t>20/04/2026</t>
  </si>
  <si>
    <t>Compra Regent Street Clinic, Nottingham, Tarjeta 4176570171221270 , Comision 17,45</t>
  </si>
  <si>
    <t>Compra Regent Street Clinic, Nottingham, Tarjeta 4176570171221270 , Comision 17,27</t>
  </si>
  <si>
    <t>Compra Air Dr* Consult, Nicosia, Tarjeta 4176570171221270 , Comision 0,00</t>
  </si>
  <si>
    <t>21/04/2026</t>
  </si>
  <si>
    <t>Compra Regent Street Clinic, Nottingham, Tarjeta 4176570171221270 , Comision 17,28</t>
  </si>
  <si>
    <t>Compra Regent Street Clinic, Nottingham, Tarjeta 4176570171221270 , Comision 4,36</t>
  </si>
  <si>
    <t>25/04/2026</t>
  </si>
  <si>
    <t>Transferencia A Favor De Sharl Hany Concepto: Sent By Banco Santander</t>
  </si>
  <si>
    <t>Refund amounts</t>
  </si>
  <si>
    <t>Transferencia A Favor De Sharl Hany, Referencia: 0049 5160 696 0061716</t>
  </si>
  <si>
    <t>Rent10</t>
  </si>
  <si>
    <t>Compra Blackrock Clinic, A94e4x7, Tarjeta 4176570171221270 , Comision 0,00</t>
  </si>
  <si>
    <t>Compra Bayswater Dental Practic, Https://www.b, Tarjeta 4176570171221270 , Comision 2,43</t>
  </si>
  <si>
    <t xml:space="preserve"> Ayswater dental</t>
  </si>
  <si>
    <t>Transferencia A Favor De Sharl Hany, Referencia: 0049 5160 696 0062034</t>
  </si>
  <si>
    <t>Rent 11</t>
  </si>
  <si>
    <t>Compra Regent Street Clinic, Nottingham, Tarjeta 4176570171221270 , Comision 4,40</t>
  </si>
  <si>
    <t>13/05/2026</t>
  </si>
  <si>
    <t>Transferencia A Favor De Doctors Clinic Group Ltd, Referencia: 0049 5160 696 0062062</t>
  </si>
  <si>
    <t>London Doctors Clinic</t>
  </si>
  <si>
    <t>Transferencia A Favor De Gustavo Olmedo Concepto: Payment For Mg033go-bill-01, Mg056go-bill-01</t>
  </si>
  <si>
    <t>Dr Gustavo</t>
  </si>
  <si>
    <t>Transferencia A Favor De Khela Medical Limited, Referencia: 0049 5160 696 0062102</t>
  </si>
  <si>
    <t>Bekham law</t>
  </si>
  <si>
    <t>NO</t>
  </si>
  <si>
    <t>Transferencia A Favor De Pro Riso Dental Clinic Limited Concepto: Payment For 492wh, 532wh, 187he, 026ca, 189he, 548wh</t>
  </si>
  <si>
    <t>Bayswater</t>
  </si>
  <si>
    <t>19/05/2026</t>
  </si>
  <si>
    <t>Transferencia A Favor De Doctor 247 Concepto: Payment For 414wh-bill-01, 416wh-bill-01, 424wh, 430wh, 449wh, 447wh, 414wh-bill-02, 416wh-bill-02, 469wh, 459wh, 493wh, 498wh, 499wh</t>
  </si>
  <si>
    <t>26/05/2026</t>
  </si>
  <si>
    <t>Transferencia A Favor De Malcolm Sant Concepto: Payment For 431wh, 159he</t>
  </si>
  <si>
    <t>Transferencia A Favor De Sharl Hany, Referencia: 0049 5160 696 0062437</t>
  </si>
  <si>
    <t>Rent 12</t>
  </si>
  <si>
    <t>Compra The Lagom Clinic, Bristol, Tarjeta 4176570174950040 , Comision 4,39</t>
  </si>
  <si>
    <t>Lagoom</t>
  </si>
  <si>
    <t>Compra Bayswater Dental Practic, Https://www.b, Tarjeta 4176570174950040 , Comision 4,85</t>
  </si>
  <si>
    <t>Compra Mydoctor-in, Mondariz, Tarjeta 4176570174950040 , Comision 0,00</t>
  </si>
  <si>
    <t>My doctor</t>
  </si>
  <si>
    <t>Compra Doctor365, Dublin 8, Tarjeta 4176570174950040 , Comision 0,00</t>
  </si>
  <si>
    <t>Compra Doctor 365, Maynooth, Tarjeta 4176570174950040 , Comision 0,00</t>
  </si>
  <si>
    <t>Compra By Dr. Fathy, Milano, Tarjeta 4176570174950040 , Comision 0,00</t>
  </si>
  <si>
    <t>Fathy</t>
  </si>
  <si>
    <t>Compra Town Dental, T12d7tx, Tarjeta 4176570174950040 , Comision 0,00</t>
  </si>
  <si>
    <t>15/06/2026</t>
  </si>
  <si>
    <t>Transferencia A Favor De Sharl Hany, Referencia: 0049 5160 696 0062652</t>
  </si>
  <si>
    <t>Rent 13</t>
  </si>
  <si>
    <t>yes</t>
  </si>
  <si>
    <t>17/06/2026</t>
  </si>
  <si>
    <t>Compra Sumup *text A Doc247, Dublin, Tarjeta 4176570174950040 , Comision 0,00</t>
  </si>
  <si>
    <t>Dr. Hussain</t>
  </si>
  <si>
    <t>Compra Es Doctors, Dublin, Tarjeta 4176570174950040 , Comision 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</si>
</sst>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m/d/yyyy"/>
    <numFmt numFmtId="167" formatCode="yyyy\-mm\-dd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rgb="FF1F1F1F"/>
      <name val="&quot;Google Sans Mono&quot;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4F9"/>
        <bgColor rgb="FFF0F4F9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7" fontId="2" fillId="0" borderId="0" xfId="0" applyNumberFormat="1" applyFont="1"/>
    <xf numFmtId="165" fontId="1" fillId="0" borderId="0" xfId="0" applyNumberFormat="1" applyFont="1"/>
    <xf numFmtId="0" fontId="3" fillId="2" borderId="0" xfId="0" applyFont="1" applyFill="1"/>
    <xf numFmtId="4" fontId="1" fillId="0" borderId="0" xfId="0" applyNumberFormat="1" applyFont="1"/>
    <xf numFmtId="0" fontId="4" fillId="0" borderId="0" xfId="0" applyFont="1"/>
    <xf numFmtId="166" fontId="1" fillId="0" borderId="0" xfId="0" applyNumberFormat="1" applyFont="1"/>
    <xf numFmtId="0" fontId="5" fillId="3" borderId="0" xfId="0" applyFont="1" applyFill="1"/>
    <xf numFmtId="167" fontId="6" fillId="3" borderId="0" xfId="0" applyNumberFormat="1" applyFont="1" applyFill="1"/>
    <xf numFmtId="4" fontId="5" fillId="3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999"/>
  <sheetViews>
    <sheetView tabSelected="1" workbookViewId="0"/>
  </sheetViews>
  <sheetFormatPr baseColWidth="10" defaultColWidth="12.6640625" defaultRowHeight="15.75" customHeight="1"/>
  <cols>
    <col min="3" max="3" width="62.33203125" customWidth="1"/>
    <col min="5" max="5" width="21" customWidth="1"/>
    <col min="6" max="6" width="15" customWidth="1"/>
  </cols>
  <sheetData>
    <row r="1" spans="1:8" ht="15.75" customHeight="1">
      <c r="A1" s="1" t="s">
        <v>0</v>
      </c>
      <c r="B1" s="2" t="s">
        <v>19</v>
      </c>
      <c r="C1" s="1" t="s">
        <v>1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ht="15.75" customHeight="1">
      <c r="A2" s="3">
        <v>45996</v>
      </c>
      <c r="B2" s="2">
        <f t="shared" ref="B2:B256" si="0">DATE(RIGHT(A2,4),MID(A2,4,2),LEFT(A2,2))</f>
        <v>1498970</v>
      </c>
      <c r="C2" s="1" t="s">
        <v>24</v>
      </c>
      <c r="D2" s="1">
        <v>-65</v>
      </c>
      <c r="E2" s="1" t="s">
        <v>25</v>
      </c>
      <c r="F2" s="4" t="s">
        <v>26</v>
      </c>
      <c r="G2" s="4" t="s">
        <v>26</v>
      </c>
    </row>
    <row r="3" spans="1:8" ht="15.75" customHeight="1">
      <c r="A3" s="1" t="s">
        <v>27</v>
      </c>
      <c r="B3" s="2">
        <f t="shared" si="0"/>
        <v>45798</v>
      </c>
      <c r="C3" s="1" t="s">
        <v>28</v>
      </c>
      <c r="D3" s="1">
        <v>-250</v>
      </c>
      <c r="E3" s="1" t="s">
        <v>29</v>
      </c>
      <c r="F3" s="1" t="s">
        <v>30</v>
      </c>
      <c r="G3" s="1" t="s">
        <v>31</v>
      </c>
    </row>
    <row r="4" spans="1:8" ht="15.75" customHeight="1">
      <c r="A4" s="1" t="s">
        <v>32</v>
      </c>
      <c r="B4" s="2">
        <f t="shared" si="0"/>
        <v>45800</v>
      </c>
      <c r="C4" s="1" t="s">
        <v>33</v>
      </c>
      <c r="D4" s="5">
        <v>-1984.2</v>
      </c>
      <c r="E4" s="1" t="s">
        <v>34</v>
      </c>
      <c r="F4" s="1" t="s">
        <v>35</v>
      </c>
      <c r="G4" s="1" t="s">
        <v>36</v>
      </c>
    </row>
    <row r="5" spans="1:8" ht="15.75" customHeight="1">
      <c r="A5" s="1" t="s">
        <v>37</v>
      </c>
      <c r="B5" s="2">
        <f t="shared" si="0"/>
        <v>45805</v>
      </c>
      <c r="C5" s="1" t="s">
        <v>38</v>
      </c>
      <c r="D5" s="1">
        <v>-140</v>
      </c>
      <c r="E5" s="1" t="s">
        <v>39</v>
      </c>
      <c r="F5" s="4" t="str">
        <f t="shared" ref="F5:F9" si="1">IF(OR(ISNUMBER(SEARCH("Tajeta", C5)), ISNUMBER(SEARCH("tarj", C5))), "Card", "")</f>
        <v>Card</v>
      </c>
      <c r="G5" s="1" t="s">
        <v>31</v>
      </c>
    </row>
    <row r="6" spans="1:8" ht="15.75" customHeight="1">
      <c r="A6" s="1" t="s">
        <v>40</v>
      </c>
      <c r="B6" s="2">
        <f t="shared" si="0"/>
        <v>45806</v>
      </c>
      <c r="C6" s="1" t="s">
        <v>38</v>
      </c>
      <c r="D6" s="1">
        <v>-65</v>
      </c>
      <c r="E6" s="1" t="s">
        <v>39</v>
      </c>
      <c r="F6" s="4" t="str">
        <f t="shared" si="1"/>
        <v>Card</v>
      </c>
      <c r="G6" s="1" t="s">
        <v>31</v>
      </c>
    </row>
    <row r="7" spans="1:8" ht="15.75" customHeight="1">
      <c r="A7" s="1" t="s">
        <v>41</v>
      </c>
      <c r="B7" s="2">
        <f t="shared" si="0"/>
        <v>45807</v>
      </c>
      <c r="C7" s="1" t="s">
        <v>38</v>
      </c>
      <c r="D7" s="1">
        <v>-338.8</v>
      </c>
      <c r="E7" s="1" t="s">
        <v>39</v>
      </c>
      <c r="F7" s="4" t="str">
        <f t="shared" si="1"/>
        <v>Card</v>
      </c>
      <c r="G7" s="1" t="s">
        <v>31</v>
      </c>
    </row>
    <row r="8" spans="1:8" ht="15.75" customHeight="1">
      <c r="A8" s="3">
        <v>45967</v>
      </c>
      <c r="B8" s="2">
        <f t="shared" si="0"/>
        <v>1487495</v>
      </c>
      <c r="C8" s="1" t="s">
        <v>42</v>
      </c>
      <c r="D8" s="1">
        <v>-216.77</v>
      </c>
      <c r="E8" s="1" t="s">
        <v>39</v>
      </c>
      <c r="F8" s="4" t="str">
        <f t="shared" si="1"/>
        <v>Card</v>
      </c>
      <c r="G8" s="1" t="s">
        <v>31</v>
      </c>
    </row>
    <row r="9" spans="1:8" ht="15.75" customHeight="1">
      <c r="A9" s="1" t="s">
        <v>43</v>
      </c>
      <c r="B9" s="2">
        <f t="shared" si="0"/>
        <v>45828</v>
      </c>
      <c r="C9" s="1" t="s">
        <v>38</v>
      </c>
      <c r="D9" s="1">
        <v>-70</v>
      </c>
      <c r="E9" s="1" t="s">
        <v>39</v>
      </c>
      <c r="F9" s="4" t="str">
        <f t="shared" si="1"/>
        <v>Card</v>
      </c>
      <c r="G9" s="1" t="s">
        <v>31</v>
      </c>
    </row>
    <row r="10" spans="1:8" ht="15.75" customHeight="1">
      <c r="A10" s="1" t="s">
        <v>43</v>
      </c>
      <c r="B10" s="2">
        <f t="shared" si="0"/>
        <v>45828</v>
      </c>
      <c r="C10" s="1" t="s">
        <v>44</v>
      </c>
      <c r="D10" s="1">
        <v>-40</v>
      </c>
      <c r="E10" s="1" t="s">
        <v>45</v>
      </c>
      <c r="F10" s="1" t="s">
        <v>30</v>
      </c>
      <c r="G10" s="1" t="s">
        <v>31</v>
      </c>
    </row>
    <row r="11" spans="1:8" ht="15.75" customHeight="1">
      <c r="A11" s="1" t="s">
        <v>46</v>
      </c>
      <c r="B11" s="2">
        <f t="shared" si="0"/>
        <v>45831</v>
      </c>
      <c r="C11" s="1" t="s">
        <v>47</v>
      </c>
      <c r="D11" s="1">
        <v>-220</v>
      </c>
      <c r="E11" s="1" t="s">
        <v>48</v>
      </c>
      <c r="F11" s="4" t="s">
        <v>49</v>
      </c>
      <c r="G11" s="4" t="s">
        <v>31</v>
      </c>
    </row>
    <row r="12" spans="1:8" ht="15.75" customHeight="1">
      <c r="A12" s="1" t="s">
        <v>46</v>
      </c>
      <c r="B12" s="2">
        <f t="shared" si="0"/>
        <v>45831</v>
      </c>
      <c r="C12" s="1" t="s">
        <v>38</v>
      </c>
      <c r="D12" s="1">
        <v>-70</v>
      </c>
      <c r="E12" s="1" t="s">
        <v>39</v>
      </c>
      <c r="F12" s="4" t="str">
        <f t="shared" ref="F12:F16" si="2">IF(OR(ISNUMBER(SEARCH("Tajeta", C12)), ISNUMBER(SEARCH("tarj", C12))), "Card", "")</f>
        <v>Card</v>
      </c>
      <c r="G12" s="1" t="s">
        <v>31</v>
      </c>
    </row>
    <row r="13" spans="1:8" ht="15.75" customHeight="1">
      <c r="A13" s="1" t="s">
        <v>50</v>
      </c>
      <c r="B13" s="2">
        <f t="shared" si="0"/>
        <v>45832</v>
      </c>
      <c r="C13" s="1" t="s">
        <v>38</v>
      </c>
      <c r="D13" s="1">
        <v>-70</v>
      </c>
      <c r="E13" s="1" t="s">
        <v>39</v>
      </c>
      <c r="F13" s="4" t="str">
        <f t="shared" si="2"/>
        <v>Card</v>
      </c>
      <c r="G13" s="1" t="s">
        <v>31</v>
      </c>
    </row>
    <row r="14" spans="1:8" ht="15.75" customHeight="1">
      <c r="A14" s="1" t="s">
        <v>51</v>
      </c>
      <c r="B14" s="2">
        <f t="shared" si="0"/>
        <v>45834</v>
      </c>
      <c r="C14" s="1" t="s">
        <v>38</v>
      </c>
      <c r="D14" s="1">
        <v>-70</v>
      </c>
      <c r="E14" s="1" t="s">
        <v>39</v>
      </c>
      <c r="F14" s="4" t="str">
        <f t="shared" si="2"/>
        <v>Card</v>
      </c>
      <c r="G14" s="1" t="s">
        <v>31</v>
      </c>
    </row>
    <row r="15" spans="1:8" ht="15.75" customHeight="1">
      <c r="A15" s="1" t="s">
        <v>51</v>
      </c>
      <c r="B15" s="2">
        <f t="shared" si="0"/>
        <v>45834</v>
      </c>
      <c r="C15" s="1" t="s">
        <v>52</v>
      </c>
      <c r="D15" s="1">
        <v>-36.53</v>
      </c>
      <c r="E15" s="1" t="s">
        <v>39</v>
      </c>
      <c r="F15" s="4" t="str">
        <f t="shared" si="2"/>
        <v>Card</v>
      </c>
      <c r="G15" s="1" t="s">
        <v>31</v>
      </c>
    </row>
    <row r="16" spans="1:8" ht="15.75" customHeight="1">
      <c r="A16" s="1" t="s">
        <v>53</v>
      </c>
      <c r="B16" s="2">
        <f t="shared" si="0"/>
        <v>45835</v>
      </c>
      <c r="C16" s="1" t="s">
        <v>38</v>
      </c>
      <c r="D16" s="1">
        <v>-70</v>
      </c>
      <c r="E16" s="1" t="s">
        <v>39</v>
      </c>
      <c r="F16" s="4" t="str">
        <f t="shared" si="2"/>
        <v>Card</v>
      </c>
      <c r="G16" s="1" t="s">
        <v>31</v>
      </c>
    </row>
    <row r="17" spans="1:7" ht="15.75" customHeight="1">
      <c r="A17" s="1" t="s">
        <v>53</v>
      </c>
      <c r="B17" s="2">
        <f t="shared" si="0"/>
        <v>45835</v>
      </c>
      <c r="C17" s="1" t="s">
        <v>54</v>
      </c>
      <c r="D17" s="1">
        <v>-60</v>
      </c>
      <c r="E17" s="1" t="s">
        <v>55</v>
      </c>
      <c r="F17" s="4" t="s">
        <v>30</v>
      </c>
      <c r="G17" s="4" t="s">
        <v>31</v>
      </c>
    </row>
    <row r="18" spans="1:7" ht="15.75" customHeight="1">
      <c r="A18" s="1" t="s">
        <v>56</v>
      </c>
      <c r="B18" s="2">
        <f t="shared" si="0"/>
        <v>45837</v>
      </c>
      <c r="C18" s="1" t="s">
        <v>38</v>
      </c>
      <c r="D18" s="1">
        <v>-30</v>
      </c>
      <c r="E18" s="1" t="s">
        <v>39</v>
      </c>
      <c r="F18" s="4" t="str">
        <f t="shared" ref="F18:F22" si="3">IF(OR(ISNUMBER(SEARCH("Tajeta", C18)), ISNUMBER(SEARCH("tarj", C18))), "Card", "")</f>
        <v>Card</v>
      </c>
      <c r="G18" s="1" t="s">
        <v>31</v>
      </c>
    </row>
    <row r="19" spans="1:7" ht="15.75" customHeight="1">
      <c r="A19" s="1" t="s">
        <v>56</v>
      </c>
      <c r="B19" s="2">
        <f t="shared" si="0"/>
        <v>45837</v>
      </c>
      <c r="C19" s="1" t="s">
        <v>38</v>
      </c>
      <c r="D19" s="1">
        <v>-30</v>
      </c>
      <c r="E19" s="1" t="s">
        <v>39</v>
      </c>
      <c r="F19" s="4" t="str">
        <f t="shared" si="3"/>
        <v>Card</v>
      </c>
      <c r="G19" s="1" t="s">
        <v>31</v>
      </c>
    </row>
    <row r="20" spans="1:7" ht="15.75" customHeight="1">
      <c r="A20" s="1" t="s">
        <v>57</v>
      </c>
      <c r="B20" s="2">
        <f t="shared" si="0"/>
        <v>45838</v>
      </c>
      <c r="C20" s="1" t="s">
        <v>38</v>
      </c>
      <c r="D20" s="1">
        <v>-70</v>
      </c>
      <c r="E20" s="1" t="s">
        <v>39</v>
      </c>
      <c r="F20" s="4" t="str">
        <f t="shared" si="3"/>
        <v>Card</v>
      </c>
      <c r="G20" s="1" t="s">
        <v>31</v>
      </c>
    </row>
    <row r="21" spans="1:7" ht="15.75" customHeight="1">
      <c r="A21" s="3">
        <v>45664</v>
      </c>
      <c r="B21" s="2">
        <f t="shared" si="0"/>
        <v>1376736</v>
      </c>
      <c r="C21" s="1" t="s">
        <v>38</v>
      </c>
      <c r="D21" s="1">
        <v>-84</v>
      </c>
      <c r="E21" s="1" t="s">
        <v>39</v>
      </c>
      <c r="F21" s="4" t="str">
        <f t="shared" si="3"/>
        <v>Card</v>
      </c>
      <c r="G21" s="1" t="s">
        <v>31</v>
      </c>
    </row>
    <row r="22" spans="1:7" ht="15.75" customHeight="1">
      <c r="A22" s="3">
        <v>45664</v>
      </c>
      <c r="B22" s="2">
        <f t="shared" si="0"/>
        <v>1376736</v>
      </c>
      <c r="C22" s="1" t="s">
        <v>38</v>
      </c>
      <c r="D22" s="1">
        <v>-70</v>
      </c>
      <c r="E22" s="1" t="s">
        <v>39</v>
      </c>
      <c r="F22" s="4" t="str">
        <f t="shared" si="3"/>
        <v>Card</v>
      </c>
      <c r="G22" s="1" t="s">
        <v>31</v>
      </c>
    </row>
    <row r="23" spans="1:7" ht="15.75" customHeight="1">
      <c r="A23" s="3">
        <v>45907</v>
      </c>
      <c r="B23" s="2">
        <f t="shared" si="0"/>
        <v>1463753</v>
      </c>
      <c r="C23" s="1" t="s">
        <v>58</v>
      </c>
      <c r="D23" s="1">
        <v>-70</v>
      </c>
      <c r="E23" s="1" t="s">
        <v>55</v>
      </c>
      <c r="F23" s="4" t="s">
        <v>30</v>
      </c>
      <c r="G23" s="4" t="s">
        <v>31</v>
      </c>
    </row>
    <row r="24" spans="1:7" ht="15.75" customHeight="1">
      <c r="A24" s="3">
        <v>45937</v>
      </c>
      <c r="B24" s="2">
        <f t="shared" si="0"/>
        <v>1475625</v>
      </c>
      <c r="C24" s="1" t="s">
        <v>38</v>
      </c>
      <c r="D24" s="1">
        <v>-70</v>
      </c>
      <c r="E24" s="1" t="s">
        <v>39</v>
      </c>
      <c r="F24" s="4" t="str">
        <f>IF(OR(ISNUMBER(SEARCH("Tajeta", C24)), ISNUMBER(SEARCH("tarj", C24))), "Card", "")</f>
        <v>Card</v>
      </c>
      <c r="G24" s="1" t="s">
        <v>31</v>
      </c>
    </row>
    <row r="25" spans="1:7" ht="15.75" customHeight="1">
      <c r="A25" s="3">
        <v>45937</v>
      </c>
      <c r="B25" s="2">
        <f t="shared" si="0"/>
        <v>1475625</v>
      </c>
      <c r="C25" s="1" t="s">
        <v>59</v>
      </c>
      <c r="D25" s="1">
        <v>-12.41</v>
      </c>
      <c r="E25" s="1" t="s">
        <v>60</v>
      </c>
      <c r="F25" s="1" t="s">
        <v>61</v>
      </c>
      <c r="G25" s="1" t="s">
        <v>36</v>
      </c>
    </row>
    <row r="26" spans="1:7" ht="15.75" customHeight="1">
      <c r="A26" s="1" t="s">
        <v>62</v>
      </c>
      <c r="B26" s="2">
        <f t="shared" si="0"/>
        <v>45856</v>
      </c>
      <c r="C26" s="1" t="s">
        <v>63</v>
      </c>
      <c r="D26" s="1">
        <v>-195</v>
      </c>
      <c r="E26" s="1" t="s">
        <v>64</v>
      </c>
      <c r="F26" s="4" t="s">
        <v>49</v>
      </c>
      <c r="G26" s="4" t="s">
        <v>31</v>
      </c>
    </row>
    <row r="27" spans="1:7" ht="15.75" customHeight="1">
      <c r="A27" s="1" t="s">
        <v>65</v>
      </c>
      <c r="B27" s="2">
        <f t="shared" si="0"/>
        <v>45859</v>
      </c>
      <c r="C27" s="1" t="s">
        <v>66</v>
      </c>
      <c r="D27" s="1">
        <v>-30</v>
      </c>
      <c r="E27" s="1" t="s">
        <v>39</v>
      </c>
      <c r="F27" s="4" t="str">
        <f t="shared" ref="F27:F30" si="4">IF(OR(ISNUMBER(SEARCH("Tajeta", C27)), ISNUMBER(SEARCH("tarj", C27))), "Card", "")</f>
        <v>Card</v>
      </c>
      <c r="G27" s="1" t="s">
        <v>31</v>
      </c>
    </row>
    <row r="28" spans="1:7" ht="15.75" customHeight="1">
      <c r="A28" s="1" t="s">
        <v>67</v>
      </c>
      <c r="B28" s="2">
        <f t="shared" si="0"/>
        <v>45862</v>
      </c>
      <c r="C28" s="1" t="s">
        <v>38</v>
      </c>
      <c r="D28" s="1">
        <v>-30</v>
      </c>
      <c r="E28" s="1" t="s">
        <v>39</v>
      </c>
      <c r="F28" s="4" t="str">
        <f t="shared" si="4"/>
        <v>Card</v>
      </c>
      <c r="G28" s="1" t="s">
        <v>31</v>
      </c>
    </row>
    <row r="29" spans="1:7" ht="15.75" customHeight="1">
      <c r="A29" s="1" t="s">
        <v>68</v>
      </c>
      <c r="B29" s="2">
        <f t="shared" si="0"/>
        <v>45864</v>
      </c>
      <c r="C29" s="1" t="s">
        <v>66</v>
      </c>
      <c r="D29" s="1">
        <v>-50</v>
      </c>
      <c r="E29" s="1" t="s">
        <v>39</v>
      </c>
      <c r="F29" s="4" t="str">
        <f t="shared" si="4"/>
        <v>Card</v>
      </c>
      <c r="G29" s="1" t="s">
        <v>31</v>
      </c>
    </row>
    <row r="30" spans="1:7" ht="15.75" customHeight="1">
      <c r="A30" s="1" t="s">
        <v>69</v>
      </c>
      <c r="B30" s="2">
        <f t="shared" si="0"/>
        <v>45867</v>
      </c>
      <c r="C30" s="1" t="s">
        <v>66</v>
      </c>
      <c r="D30" s="1">
        <v>-60</v>
      </c>
      <c r="E30" s="1" t="s">
        <v>39</v>
      </c>
      <c r="F30" s="4" t="str">
        <f t="shared" si="4"/>
        <v>Card</v>
      </c>
      <c r="G30" s="1" t="s">
        <v>31</v>
      </c>
    </row>
    <row r="31" spans="1:7" ht="15.75" customHeight="1">
      <c r="A31" s="1" t="s">
        <v>70</v>
      </c>
      <c r="B31" s="2">
        <f t="shared" si="0"/>
        <v>45868</v>
      </c>
      <c r="C31" s="1" t="s">
        <v>71</v>
      </c>
      <c r="D31" s="1">
        <v>-50</v>
      </c>
      <c r="E31" s="1" t="s">
        <v>72</v>
      </c>
      <c r="F31" s="1" t="s">
        <v>61</v>
      </c>
      <c r="G31" s="1" t="s">
        <v>73</v>
      </c>
    </row>
    <row r="32" spans="1:7" ht="15.75" customHeight="1">
      <c r="A32" s="1" t="s">
        <v>3</v>
      </c>
      <c r="B32" s="2">
        <f t="shared" si="0"/>
        <v>45869</v>
      </c>
      <c r="C32" s="1" t="s">
        <v>66</v>
      </c>
      <c r="D32" s="1">
        <v>-50</v>
      </c>
      <c r="E32" s="1" t="s">
        <v>39</v>
      </c>
      <c r="F32" s="4" t="str">
        <f t="shared" ref="F32:F33" si="5">IF(OR(ISNUMBER(SEARCH("Tajeta", C32)), ISNUMBER(SEARCH("tarj", C32))), "Card", "")</f>
        <v>Card</v>
      </c>
      <c r="G32" s="1" t="s">
        <v>31</v>
      </c>
    </row>
    <row r="33" spans="1:7" ht="15.75" customHeight="1">
      <c r="A33" s="1" t="s">
        <v>3</v>
      </c>
      <c r="B33" s="2">
        <f t="shared" si="0"/>
        <v>45869</v>
      </c>
      <c r="C33" s="1" t="s">
        <v>66</v>
      </c>
      <c r="D33" s="1">
        <v>-50</v>
      </c>
      <c r="E33" s="1" t="s">
        <v>39</v>
      </c>
      <c r="F33" s="4" t="str">
        <f t="shared" si="5"/>
        <v>Card</v>
      </c>
      <c r="G33" s="1" t="s">
        <v>31</v>
      </c>
    </row>
    <row r="34" spans="1:7" ht="15.75" customHeight="1">
      <c r="A34" s="3">
        <v>45665</v>
      </c>
      <c r="B34" s="2">
        <f t="shared" si="0"/>
        <v>1377131</v>
      </c>
      <c r="C34" s="1" t="s">
        <v>74</v>
      </c>
      <c r="D34" s="1">
        <v>-77.89</v>
      </c>
      <c r="E34" s="1" t="s">
        <v>75</v>
      </c>
      <c r="F34" s="1" t="s">
        <v>61</v>
      </c>
      <c r="G34" s="1" t="s">
        <v>36</v>
      </c>
    </row>
    <row r="35" spans="1:7" ht="15.75" customHeight="1">
      <c r="A35" s="3">
        <v>45755</v>
      </c>
      <c r="B35" s="2">
        <f t="shared" si="0"/>
        <v>1409698</v>
      </c>
      <c r="C35" s="1" t="s">
        <v>76</v>
      </c>
      <c r="D35" s="1">
        <v>-40</v>
      </c>
      <c r="E35" s="1" t="s">
        <v>77</v>
      </c>
      <c r="F35" s="4" t="str">
        <f>IF(OR(ISNUMBER(SEARCH("Tajeta", C35)), ISNUMBER(SEARCH("tarj", C35))), "Card", "")</f>
        <v>Card</v>
      </c>
      <c r="G35" s="1" t="s">
        <v>31</v>
      </c>
    </row>
    <row r="36" spans="1:7" ht="15.75" customHeight="1">
      <c r="A36" s="3">
        <v>45785</v>
      </c>
      <c r="B36" s="2">
        <f t="shared" si="0"/>
        <v>1421570</v>
      </c>
      <c r="C36" s="1" t="s">
        <v>78</v>
      </c>
      <c r="D36" s="1">
        <v>-100</v>
      </c>
      <c r="E36" s="1" t="s">
        <v>79</v>
      </c>
      <c r="F36" s="4" t="s">
        <v>30</v>
      </c>
      <c r="G36" s="4" t="s">
        <v>31</v>
      </c>
    </row>
    <row r="37" spans="1:7" ht="15.75" customHeight="1">
      <c r="A37" s="3">
        <v>45785</v>
      </c>
      <c r="B37" s="2">
        <f t="shared" si="0"/>
        <v>1421570</v>
      </c>
      <c r="C37" s="1" t="s">
        <v>38</v>
      </c>
      <c r="D37" s="1">
        <v>-70</v>
      </c>
      <c r="E37" s="1" t="s">
        <v>39</v>
      </c>
      <c r="F37" s="4" t="str">
        <f t="shared" ref="F37:F41" si="6">IF(OR(ISNUMBER(SEARCH("Tajeta", C37)), ISNUMBER(SEARCH("tarj", C37))), "Card", "")</f>
        <v>Card</v>
      </c>
      <c r="G37" s="1" t="s">
        <v>31</v>
      </c>
    </row>
    <row r="38" spans="1:7" ht="15.75" customHeight="1">
      <c r="A38" s="3">
        <v>45816</v>
      </c>
      <c r="B38" s="2">
        <f t="shared" si="0"/>
        <v>1430791</v>
      </c>
      <c r="C38" s="1" t="s">
        <v>66</v>
      </c>
      <c r="D38" s="1">
        <v>-50</v>
      </c>
      <c r="E38" s="1">
        <v>365</v>
      </c>
      <c r="F38" s="4" t="str">
        <f t="shared" si="6"/>
        <v>Card</v>
      </c>
      <c r="G38" s="1" t="s">
        <v>31</v>
      </c>
    </row>
    <row r="39" spans="1:7" ht="15.75" customHeight="1">
      <c r="A39" s="3">
        <v>45816</v>
      </c>
      <c r="B39" s="2">
        <f t="shared" si="0"/>
        <v>1430791</v>
      </c>
      <c r="C39" s="1" t="s">
        <v>66</v>
      </c>
      <c r="D39" s="1">
        <v>-50</v>
      </c>
      <c r="E39" s="1">
        <v>365</v>
      </c>
      <c r="F39" s="4" t="str">
        <f t="shared" si="6"/>
        <v>Card</v>
      </c>
      <c r="G39" s="1" t="s">
        <v>31</v>
      </c>
    </row>
    <row r="40" spans="1:7" ht="15.75" customHeight="1">
      <c r="A40" s="3">
        <v>45846</v>
      </c>
      <c r="B40" s="2">
        <f t="shared" si="0"/>
        <v>1442662</v>
      </c>
      <c r="C40" s="1" t="s">
        <v>38</v>
      </c>
      <c r="D40" s="1">
        <v>-140</v>
      </c>
      <c r="E40" s="1" t="s">
        <v>39</v>
      </c>
      <c r="F40" s="4" t="str">
        <f t="shared" si="6"/>
        <v>Card</v>
      </c>
      <c r="G40" s="1" t="s">
        <v>31</v>
      </c>
    </row>
    <row r="41" spans="1:7" ht="15.75" customHeight="1">
      <c r="A41" s="3">
        <v>45846</v>
      </c>
      <c r="B41" s="2">
        <f t="shared" si="0"/>
        <v>1442662</v>
      </c>
      <c r="C41" s="1" t="s">
        <v>80</v>
      </c>
      <c r="D41" s="1">
        <v>-53.92</v>
      </c>
      <c r="E41" s="1" t="s">
        <v>81</v>
      </c>
      <c r="F41" s="4" t="str">
        <f t="shared" si="6"/>
        <v>Card</v>
      </c>
      <c r="G41" s="1" t="s">
        <v>31</v>
      </c>
    </row>
    <row r="42" spans="1:7" ht="15.75" customHeight="1">
      <c r="A42" s="3">
        <v>45846</v>
      </c>
      <c r="B42" s="2">
        <f t="shared" si="0"/>
        <v>1442662</v>
      </c>
      <c r="C42" s="1" t="s">
        <v>82</v>
      </c>
      <c r="D42" s="1">
        <v>-12.55</v>
      </c>
      <c r="E42" s="1" t="s">
        <v>83</v>
      </c>
      <c r="F42" s="1" t="s">
        <v>61</v>
      </c>
      <c r="G42" s="1" t="s">
        <v>36</v>
      </c>
    </row>
    <row r="43" spans="1:7" ht="15.75" customHeight="1">
      <c r="A43" s="3">
        <v>45877</v>
      </c>
      <c r="B43" s="2">
        <f t="shared" si="0"/>
        <v>1454927</v>
      </c>
      <c r="C43" s="1" t="s">
        <v>66</v>
      </c>
      <c r="D43" s="1">
        <v>-65</v>
      </c>
      <c r="E43" s="1">
        <v>365</v>
      </c>
      <c r="F43" s="4" t="str">
        <f t="shared" ref="F43:F44" si="7">IF(OR(ISNUMBER(SEARCH("Tajeta", C43)), ISNUMBER(SEARCH("tarj", C43))), "Card", "")</f>
        <v>Card</v>
      </c>
      <c r="G43" s="1" t="s">
        <v>31</v>
      </c>
    </row>
    <row r="44" spans="1:7" ht="15.75" customHeight="1">
      <c r="A44" s="3">
        <v>45969</v>
      </c>
      <c r="B44" s="2">
        <f t="shared" si="0"/>
        <v>1488287</v>
      </c>
      <c r="C44" s="1" t="s">
        <v>84</v>
      </c>
      <c r="D44" s="1">
        <v>-50</v>
      </c>
      <c r="E44" s="1">
        <v>365</v>
      </c>
      <c r="F44" s="4" t="str">
        <f t="shared" si="7"/>
        <v>Card</v>
      </c>
      <c r="G44" s="1" t="s">
        <v>31</v>
      </c>
    </row>
    <row r="45" spans="1:7" ht="15.75" customHeight="1">
      <c r="A45" s="1" t="s">
        <v>85</v>
      </c>
      <c r="B45" s="2">
        <f t="shared" si="0"/>
        <v>45882</v>
      </c>
      <c r="C45" s="1" t="s">
        <v>86</v>
      </c>
      <c r="D45" s="1">
        <v>-390</v>
      </c>
      <c r="E45" s="1" t="s">
        <v>64</v>
      </c>
      <c r="F45" s="4" t="s">
        <v>49</v>
      </c>
      <c r="G45" s="4" t="s">
        <v>31</v>
      </c>
    </row>
    <row r="46" spans="1:7" ht="15.75" customHeight="1">
      <c r="A46" s="1" t="s">
        <v>85</v>
      </c>
      <c r="B46" s="2">
        <f t="shared" si="0"/>
        <v>45882</v>
      </c>
      <c r="C46" s="1" t="s">
        <v>87</v>
      </c>
      <c r="D46" s="1">
        <v>-120</v>
      </c>
      <c r="E46" s="1" t="s">
        <v>88</v>
      </c>
      <c r="F46" s="4" t="s">
        <v>49</v>
      </c>
      <c r="G46" s="4" t="s">
        <v>31</v>
      </c>
    </row>
    <row r="47" spans="1:7" ht="15.75" customHeight="1">
      <c r="A47" s="1" t="s">
        <v>85</v>
      </c>
      <c r="B47" s="2">
        <f t="shared" si="0"/>
        <v>45882</v>
      </c>
      <c r="C47" s="1" t="s">
        <v>89</v>
      </c>
      <c r="D47" s="1">
        <v>-54.41</v>
      </c>
      <c r="E47" s="1" t="s">
        <v>90</v>
      </c>
      <c r="F47" s="4" t="str">
        <f t="shared" ref="F47:F52" si="8">IF(OR(ISNUMBER(SEARCH("Tajeta", C47)), ISNUMBER(SEARCH("tarj", C47))), "Card", "")</f>
        <v>Card</v>
      </c>
      <c r="G47" s="1" t="s">
        <v>31</v>
      </c>
    </row>
    <row r="48" spans="1:7" ht="15.75" customHeight="1">
      <c r="A48" s="1" t="s">
        <v>85</v>
      </c>
      <c r="B48" s="2">
        <f t="shared" si="0"/>
        <v>45882</v>
      </c>
      <c r="C48" s="1" t="s">
        <v>89</v>
      </c>
      <c r="D48" s="1">
        <v>-54.41</v>
      </c>
      <c r="E48" s="1" t="s">
        <v>81</v>
      </c>
      <c r="F48" s="4" t="str">
        <f t="shared" si="8"/>
        <v>Card</v>
      </c>
      <c r="G48" s="1" t="s">
        <v>31</v>
      </c>
    </row>
    <row r="49" spans="1:7" ht="15.75" customHeight="1">
      <c r="A49" s="1" t="s">
        <v>85</v>
      </c>
      <c r="B49" s="2">
        <f t="shared" si="0"/>
        <v>45882</v>
      </c>
      <c r="C49" s="1" t="s">
        <v>89</v>
      </c>
      <c r="D49" s="1">
        <v>-54.41</v>
      </c>
      <c r="E49" s="1" t="s">
        <v>91</v>
      </c>
      <c r="F49" s="4" t="str">
        <f t="shared" si="8"/>
        <v>Card</v>
      </c>
      <c r="G49" s="1" t="s">
        <v>31</v>
      </c>
    </row>
    <row r="50" spans="1:7" ht="15.75" customHeight="1">
      <c r="A50" s="1" t="s">
        <v>85</v>
      </c>
      <c r="B50" s="2">
        <f t="shared" si="0"/>
        <v>45882</v>
      </c>
      <c r="C50" s="1" t="s">
        <v>89</v>
      </c>
      <c r="D50" s="1">
        <v>-54.41</v>
      </c>
      <c r="E50" s="1" t="s">
        <v>92</v>
      </c>
      <c r="F50" s="4" t="str">
        <f t="shared" si="8"/>
        <v>Card</v>
      </c>
      <c r="G50" s="1" t="s">
        <v>31</v>
      </c>
    </row>
    <row r="51" spans="1:7" ht="15.75" customHeight="1">
      <c r="A51" s="1" t="s">
        <v>93</v>
      </c>
      <c r="B51" s="2">
        <f t="shared" si="0"/>
        <v>45884</v>
      </c>
      <c r="C51" s="1" t="s">
        <v>94</v>
      </c>
      <c r="D51" s="1">
        <v>-242.47</v>
      </c>
      <c r="E51" s="1" t="s">
        <v>95</v>
      </c>
      <c r="F51" s="4" t="str">
        <f t="shared" si="8"/>
        <v>Card</v>
      </c>
      <c r="G51" s="1" t="s">
        <v>31</v>
      </c>
    </row>
    <row r="52" spans="1:7" ht="15.75" customHeight="1">
      <c r="A52" s="1" t="s">
        <v>93</v>
      </c>
      <c r="B52" s="2">
        <f t="shared" si="0"/>
        <v>45884</v>
      </c>
      <c r="C52" s="1" t="s">
        <v>96</v>
      </c>
      <c r="D52" s="1">
        <v>-141.85</v>
      </c>
      <c r="E52" s="1" t="s">
        <v>97</v>
      </c>
      <c r="F52" s="4" t="str">
        <f t="shared" si="8"/>
        <v>Card</v>
      </c>
      <c r="G52" s="1" t="s">
        <v>31</v>
      </c>
    </row>
    <row r="53" spans="1:7" ht="15.75" customHeight="1">
      <c r="A53" s="1" t="s">
        <v>98</v>
      </c>
      <c r="B53" s="2">
        <f t="shared" si="0"/>
        <v>45888</v>
      </c>
      <c r="C53" s="1" t="s">
        <v>99</v>
      </c>
      <c r="D53" s="1">
        <v>-600</v>
      </c>
      <c r="E53" s="1" t="s">
        <v>100</v>
      </c>
      <c r="F53" s="4" t="s">
        <v>49</v>
      </c>
      <c r="G53" s="4" t="s">
        <v>31</v>
      </c>
    </row>
    <row r="54" spans="1:7" ht="15.75" customHeight="1">
      <c r="A54" s="1" t="s">
        <v>101</v>
      </c>
      <c r="B54" s="2">
        <f t="shared" si="0"/>
        <v>45889</v>
      </c>
      <c r="C54" s="1" t="s">
        <v>38</v>
      </c>
      <c r="D54" s="1">
        <v>-35</v>
      </c>
      <c r="E54" s="1" t="s">
        <v>39</v>
      </c>
      <c r="F54" s="4" t="str">
        <f t="shared" ref="F54:F61" si="9">IF(OR(ISNUMBER(SEARCH("Tajeta", C54)), ISNUMBER(SEARCH("tarj", C54))), "Card", "")</f>
        <v>Card</v>
      </c>
      <c r="G54" s="1" t="s">
        <v>31</v>
      </c>
    </row>
    <row r="55" spans="1:7" ht="15.75" customHeight="1">
      <c r="A55" s="1" t="s">
        <v>102</v>
      </c>
      <c r="B55" s="2">
        <f t="shared" si="0"/>
        <v>45890</v>
      </c>
      <c r="C55" s="1" t="s">
        <v>38</v>
      </c>
      <c r="D55" s="1">
        <v>-50</v>
      </c>
      <c r="E55" s="1" t="s">
        <v>39</v>
      </c>
      <c r="F55" s="4" t="str">
        <f t="shared" si="9"/>
        <v>Card</v>
      </c>
      <c r="G55" s="1" t="s">
        <v>31</v>
      </c>
    </row>
    <row r="56" spans="1:7" ht="15.75" customHeight="1">
      <c r="A56" s="1" t="s">
        <v>102</v>
      </c>
      <c r="B56" s="2">
        <f t="shared" si="0"/>
        <v>45890</v>
      </c>
      <c r="C56" s="1" t="s">
        <v>38</v>
      </c>
      <c r="D56" s="1">
        <v>-42</v>
      </c>
      <c r="E56" s="1" t="s">
        <v>39</v>
      </c>
      <c r="F56" s="4" t="str">
        <f t="shared" si="9"/>
        <v>Card</v>
      </c>
      <c r="G56" s="1" t="s">
        <v>31</v>
      </c>
    </row>
    <row r="57" spans="1:7" ht="15.75" customHeight="1">
      <c r="A57" s="1" t="s">
        <v>103</v>
      </c>
      <c r="B57" s="2">
        <f t="shared" si="0"/>
        <v>45894</v>
      </c>
      <c r="C57" s="1" t="s">
        <v>38</v>
      </c>
      <c r="D57" s="1">
        <v>-168</v>
      </c>
      <c r="E57" s="1" t="s">
        <v>39</v>
      </c>
      <c r="F57" s="4" t="str">
        <f t="shared" si="9"/>
        <v>Card</v>
      </c>
      <c r="G57" s="1" t="s">
        <v>31</v>
      </c>
    </row>
    <row r="58" spans="1:7" ht="15.75" customHeight="1">
      <c r="A58" s="1" t="s">
        <v>103</v>
      </c>
      <c r="B58" s="2">
        <f t="shared" si="0"/>
        <v>45894</v>
      </c>
      <c r="C58" s="1" t="s">
        <v>89</v>
      </c>
      <c r="D58" s="1">
        <v>-54.27</v>
      </c>
      <c r="E58" s="1" t="s">
        <v>92</v>
      </c>
      <c r="F58" s="4" t="str">
        <f t="shared" si="9"/>
        <v>Card</v>
      </c>
      <c r="G58" s="1" t="s">
        <v>31</v>
      </c>
    </row>
    <row r="59" spans="1:7" ht="15.75" customHeight="1">
      <c r="A59" s="1" t="s">
        <v>103</v>
      </c>
      <c r="B59" s="2">
        <f t="shared" si="0"/>
        <v>45894</v>
      </c>
      <c r="C59" s="1" t="s">
        <v>89</v>
      </c>
      <c r="D59" s="1">
        <v>-54.27</v>
      </c>
      <c r="E59" s="1" t="s">
        <v>92</v>
      </c>
      <c r="F59" s="4" t="str">
        <f t="shared" si="9"/>
        <v>Card</v>
      </c>
      <c r="G59" s="1" t="s">
        <v>31</v>
      </c>
    </row>
    <row r="60" spans="1:7" ht="15.75" customHeight="1">
      <c r="A60" s="1" t="s">
        <v>103</v>
      </c>
      <c r="B60" s="2">
        <f t="shared" si="0"/>
        <v>45894</v>
      </c>
      <c r="C60" s="1" t="s">
        <v>89</v>
      </c>
      <c r="D60" s="1">
        <v>-54.27</v>
      </c>
      <c r="E60" s="1" t="s">
        <v>90</v>
      </c>
      <c r="F60" s="4" t="str">
        <f t="shared" si="9"/>
        <v>Card</v>
      </c>
      <c r="G60" s="1" t="s">
        <v>31</v>
      </c>
    </row>
    <row r="61" spans="1:7" ht="15.75" customHeight="1">
      <c r="A61" s="1" t="s">
        <v>103</v>
      </c>
      <c r="B61" s="2">
        <f t="shared" si="0"/>
        <v>45894</v>
      </c>
      <c r="C61" s="1" t="s">
        <v>89</v>
      </c>
      <c r="D61" s="1">
        <v>-54.27</v>
      </c>
      <c r="E61" s="1" t="s">
        <v>92</v>
      </c>
      <c r="F61" s="4" t="str">
        <f t="shared" si="9"/>
        <v>Card</v>
      </c>
      <c r="G61" s="1" t="s">
        <v>31</v>
      </c>
    </row>
    <row r="62" spans="1:7" ht="15.75" customHeight="1">
      <c r="A62" s="1" t="s">
        <v>104</v>
      </c>
      <c r="B62" s="2">
        <f t="shared" si="0"/>
        <v>45895</v>
      </c>
      <c r="C62" s="1" t="s">
        <v>105</v>
      </c>
      <c r="D62" s="1">
        <v>-150</v>
      </c>
      <c r="E62" s="1" t="s">
        <v>106</v>
      </c>
      <c r="F62" s="4" t="s">
        <v>49</v>
      </c>
      <c r="G62" s="4" t="s">
        <v>31</v>
      </c>
    </row>
    <row r="63" spans="1:7" ht="15.75" customHeight="1">
      <c r="A63" s="1" t="s">
        <v>104</v>
      </c>
      <c r="B63" s="2">
        <f t="shared" si="0"/>
        <v>45895</v>
      </c>
      <c r="C63" s="1" t="s">
        <v>38</v>
      </c>
      <c r="D63" s="1">
        <v>-140</v>
      </c>
      <c r="E63" s="1" t="s">
        <v>39</v>
      </c>
      <c r="F63" s="4" t="str">
        <f>IF(OR(ISNUMBER(SEARCH("Tajeta", C63)), ISNUMBER(SEARCH("tarj", C63))), "Card", "")</f>
        <v>Card</v>
      </c>
      <c r="G63" s="1" t="s">
        <v>31</v>
      </c>
    </row>
    <row r="64" spans="1:7" ht="15.75" customHeight="1">
      <c r="A64" s="1" t="s">
        <v>104</v>
      </c>
      <c r="B64" s="2">
        <f t="shared" si="0"/>
        <v>45895</v>
      </c>
      <c r="C64" s="1" t="s">
        <v>107</v>
      </c>
      <c r="D64" s="1">
        <v>-124</v>
      </c>
      <c r="E64" s="1" t="s">
        <v>88</v>
      </c>
      <c r="F64" s="4" t="s">
        <v>49</v>
      </c>
      <c r="G64" s="4" t="s">
        <v>31</v>
      </c>
    </row>
    <row r="65" spans="1:7" ht="15.75" customHeight="1">
      <c r="A65" s="1" t="s">
        <v>108</v>
      </c>
      <c r="B65" s="2">
        <f t="shared" si="0"/>
        <v>45896</v>
      </c>
      <c r="C65" s="1" t="s">
        <v>109</v>
      </c>
      <c r="D65" s="1">
        <v>-250</v>
      </c>
      <c r="E65" s="1" t="s">
        <v>110</v>
      </c>
      <c r="F65" s="4" t="s">
        <v>49</v>
      </c>
      <c r="G65" s="4" t="s">
        <v>31</v>
      </c>
    </row>
    <row r="66" spans="1:7" ht="15.75" customHeight="1">
      <c r="A66" s="1" t="s">
        <v>108</v>
      </c>
      <c r="B66" s="2">
        <f t="shared" si="0"/>
        <v>45896</v>
      </c>
      <c r="C66" s="1" t="s">
        <v>38</v>
      </c>
      <c r="D66" s="1">
        <v>-35</v>
      </c>
      <c r="E66" s="1" t="s">
        <v>39</v>
      </c>
      <c r="F66" s="4" t="str">
        <f>IF(OR(ISNUMBER(SEARCH("Tajeta", C66)), ISNUMBER(SEARCH("tarj", C66))), "Card", "")</f>
        <v>Card</v>
      </c>
      <c r="G66" s="1" t="s">
        <v>31</v>
      </c>
    </row>
    <row r="67" spans="1:7" ht="13">
      <c r="A67" s="1" t="s">
        <v>108</v>
      </c>
      <c r="B67" s="2">
        <f t="shared" si="0"/>
        <v>45896</v>
      </c>
      <c r="C67" s="1" t="s">
        <v>111</v>
      </c>
      <c r="D67" s="1">
        <v>-30</v>
      </c>
      <c r="E67" s="1" t="s">
        <v>112</v>
      </c>
      <c r="F67" s="4" t="s">
        <v>49</v>
      </c>
      <c r="G67" s="4" t="s">
        <v>31</v>
      </c>
    </row>
    <row r="68" spans="1:7" ht="13">
      <c r="A68" s="3">
        <v>45666</v>
      </c>
      <c r="B68" s="2">
        <f t="shared" si="0"/>
        <v>1377527</v>
      </c>
      <c r="C68" s="1" t="s">
        <v>113</v>
      </c>
      <c r="D68" s="1">
        <v>-335</v>
      </c>
      <c r="E68" s="1" t="s">
        <v>112</v>
      </c>
      <c r="F68" s="4" t="s">
        <v>49</v>
      </c>
      <c r="G68" s="4" t="s">
        <v>31</v>
      </c>
    </row>
    <row r="69" spans="1:7" ht="13">
      <c r="A69" s="3">
        <v>45666</v>
      </c>
      <c r="B69" s="2">
        <f t="shared" si="0"/>
        <v>1377527</v>
      </c>
      <c r="C69" s="1" t="s">
        <v>114</v>
      </c>
      <c r="D69" s="1">
        <v>-325</v>
      </c>
      <c r="E69" s="1" t="s">
        <v>115</v>
      </c>
      <c r="F69" s="4" t="s">
        <v>49</v>
      </c>
      <c r="G69" s="4" t="s">
        <v>31</v>
      </c>
    </row>
    <row r="70" spans="1:7" ht="13">
      <c r="A70" s="3">
        <v>45666</v>
      </c>
      <c r="B70" s="2">
        <f t="shared" si="0"/>
        <v>1377527</v>
      </c>
      <c r="C70" s="1" t="s">
        <v>74</v>
      </c>
      <c r="D70" s="1">
        <v>-81</v>
      </c>
      <c r="E70" s="1" t="s">
        <v>116</v>
      </c>
      <c r="F70" s="4" t="str">
        <f t="shared" ref="F70:F78" si="10">IF(OR(ISNUMBER(SEARCH("Tajeta", C70)), ISNUMBER(SEARCH("tarj", C70))), "Card", "")</f>
        <v>Card</v>
      </c>
      <c r="G70" s="1" t="s">
        <v>36</v>
      </c>
    </row>
    <row r="71" spans="1:7" ht="13">
      <c r="A71" s="3">
        <v>45697</v>
      </c>
      <c r="B71" s="2">
        <f t="shared" si="0"/>
        <v>1389794</v>
      </c>
      <c r="C71" s="1" t="s">
        <v>38</v>
      </c>
      <c r="D71" s="1">
        <v>-35</v>
      </c>
      <c r="E71" s="1" t="s">
        <v>39</v>
      </c>
      <c r="F71" s="4" t="str">
        <f t="shared" si="10"/>
        <v>Card</v>
      </c>
      <c r="G71" s="1" t="s">
        <v>31</v>
      </c>
    </row>
    <row r="72" spans="1:7" ht="13">
      <c r="A72" s="3">
        <v>45786</v>
      </c>
      <c r="B72" s="2">
        <f t="shared" si="0"/>
        <v>1421967</v>
      </c>
      <c r="C72" s="1" t="s">
        <v>117</v>
      </c>
      <c r="D72" s="1">
        <v>-107.08</v>
      </c>
      <c r="E72" s="1" t="s">
        <v>97</v>
      </c>
      <c r="F72" s="4" t="str">
        <f t="shared" si="10"/>
        <v>Card</v>
      </c>
      <c r="G72" s="1" t="s">
        <v>31</v>
      </c>
    </row>
    <row r="73" spans="1:7" ht="13">
      <c r="A73" s="3">
        <v>45878</v>
      </c>
      <c r="B73" s="2">
        <f t="shared" si="0"/>
        <v>1455324</v>
      </c>
      <c r="C73" s="1" t="s">
        <v>118</v>
      </c>
      <c r="D73" s="1">
        <v>-150.31</v>
      </c>
      <c r="E73" s="1" t="s">
        <v>119</v>
      </c>
      <c r="F73" s="4" t="str">
        <f t="shared" si="10"/>
        <v>Card</v>
      </c>
      <c r="G73" s="1" t="s">
        <v>31</v>
      </c>
    </row>
    <row r="74" spans="1:7" ht="13">
      <c r="A74" s="3">
        <v>45878</v>
      </c>
      <c r="B74" s="2">
        <f t="shared" si="0"/>
        <v>1455324</v>
      </c>
      <c r="C74" s="1" t="s">
        <v>71</v>
      </c>
      <c r="D74" s="1">
        <v>-70</v>
      </c>
      <c r="E74" s="1">
        <v>365</v>
      </c>
      <c r="F74" s="4" t="str">
        <f t="shared" si="10"/>
        <v>Card</v>
      </c>
      <c r="G74" s="1" t="s">
        <v>31</v>
      </c>
    </row>
    <row r="75" spans="1:7" ht="13">
      <c r="A75" s="3">
        <v>45878</v>
      </c>
      <c r="B75" s="2">
        <f t="shared" si="0"/>
        <v>1455324</v>
      </c>
      <c r="C75" s="1" t="s">
        <v>120</v>
      </c>
      <c r="D75" s="1">
        <v>-55</v>
      </c>
      <c r="E75" s="1" t="s">
        <v>121</v>
      </c>
      <c r="F75" s="4" t="str">
        <f t="shared" si="10"/>
        <v>Card</v>
      </c>
      <c r="G75" s="1" t="s">
        <v>31</v>
      </c>
    </row>
    <row r="76" spans="1:7" ht="13">
      <c r="A76" s="3">
        <v>45878</v>
      </c>
      <c r="B76" s="2">
        <f t="shared" si="0"/>
        <v>1455324</v>
      </c>
      <c r="C76" s="1" t="s">
        <v>122</v>
      </c>
      <c r="D76" s="1">
        <v>-42.09</v>
      </c>
      <c r="E76" s="1" t="s">
        <v>123</v>
      </c>
      <c r="F76" s="4" t="str">
        <f t="shared" si="10"/>
        <v>Card</v>
      </c>
      <c r="G76" s="1" t="s">
        <v>31</v>
      </c>
    </row>
    <row r="77" spans="1:7" ht="13">
      <c r="A77" s="3">
        <v>45878</v>
      </c>
      <c r="B77" s="2">
        <f t="shared" si="0"/>
        <v>1455324</v>
      </c>
      <c r="C77" s="1" t="s">
        <v>59</v>
      </c>
      <c r="D77" s="1">
        <v>-12.45</v>
      </c>
      <c r="E77" s="1" t="s">
        <v>83</v>
      </c>
      <c r="F77" s="4" t="str">
        <f t="shared" si="10"/>
        <v>Card</v>
      </c>
      <c r="G77" s="1" t="s">
        <v>36</v>
      </c>
    </row>
    <row r="78" spans="1:7" ht="13">
      <c r="A78" s="3">
        <v>45939</v>
      </c>
      <c r="B78" s="2">
        <f t="shared" si="0"/>
        <v>1476415</v>
      </c>
      <c r="C78" s="1" t="s">
        <v>124</v>
      </c>
      <c r="D78" s="1">
        <v>-475.59</v>
      </c>
      <c r="E78" s="1" t="s">
        <v>125</v>
      </c>
      <c r="F78" s="4" t="str">
        <f t="shared" si="10"/>
        <v>Card</v>
      </c>
      <c r="G78" s="1" t="s">
        <v>31</v>
      </c>
    </row>
    <row r="79" spans="1:7" ht="13">
      <c r="A79" s="3">
        <v>45939</v>
      </c>
      <c r="B79" s="2">
        <f t="shared" si="0"/>
        <v>1476415</v>
      </c>
      <c r="C79" s="1" t="s">
        <v>126</v>
      </c>
      <c r="D79" s="1">
        <v>-440</v>
      </c>
      <c r="E79" s="1">
        <v>247</v>
      </c>
      <c r="F79" s="4" t="s">
        <v>49</v>
      </c>
      <c r="G79" s="4" t="s">
        <v>31</v>
      </c>
    </row>
    <row r="80" spans="1:7" ht="13">
      <c r="A80" s="3">
        <v>45939</v>
      </c>
      <c r="B80" s="2">
        <f t="shared" si="0"/>
        <v>1476415</v>
      </c>
      <c r="C80" s="1" t="s">
        <v>38</v>
      </c>
      <c r="D80" s="1">
        <v>-168</v>
      </c>
      <c r="E80" s="1" t="s">
        <v>39</v>
      </c>
      <c r="F80" s="4" t="str">
        <f t="shared" ref="F80:F104" si="11">IF(OR(ISNUMBER(SEARCH("Tajeta", C80)), ISNUMBER(SEARCH("tarj", C80))), "Card", "")</f>
        <v>Card</v>
      </c>
      <c r="G80" s="1" t="s">
        <v>31</v>
      </c>
    </row>
    <row r="81" spans="1:7" ht="13">
      <c r="A81" s="3">
        <v>45939</v>
      </c>
      <c r="B81" s="2">
        <f t="shared" si="0"/>
        <v>1476415</v>
      </c>
      <c r="C81" s="1" t="s">
        <v>127</v>
      </c>
      <c r="D81" s="1">
        <v>-114.38</v>
      </c>
      <c r="E81" s="1" t="s">
        <v>128</v>
      </c>
      <c r="F81" s="4" t="str">
        <f t="shared" si="11"/>
        <v>Card</v>
      </c>
      <c r="G81" s="1" t="s">
        <v>31</v>
      </c>
    </row>
    <row r="82" spans="1:7" ht="13">
      <c r="A82" s="3">
        <v>46000</v>
      </c>
      <c r="B82" s="2">
        <f t="shared" si="0"/>
        <v>1497510</v>
      </c>
      <c r="C82" s="1" t="s">
        <v>38</v>
      </c>
      <c r="D82" s="1">
        <v>-280</v>
      </c>
      <c r="E82" s="1" t="s">
        <v>39</v>
      </c>
      <c r="F82" s="4" t="str">
        <f t="shared" si="11"/>
        <v>Card</v>
      </c>
      <c r="G82" s="1" t="s">
        <v>31</v>
      </c>
    </row>
    <row r="83" spans="1:7" ht="13">
      <c r="A83" s="3">
        <v>46000</v>
      </c>
      <c r="B83" s="2">
        <f t="shared" si="0"/>
        <v>1497510</v>
      </c>
      <c r="C83" s="1" t="s">
        <v>38</v>
      </c>
      <c r="D83" s="1">
        <v>-280</v>
      </c>
      <c r="E83" s="1" t="s">
        <v>39</v>
      </c>
      <c r="F83" s="4" t="str">
        <f t="shared" si="11"/>
        <v>Card</v>
      </c>
      <c r="G83" s="1" t="s">
        <v>31</v>
      </c>
    </row>
    <row r="84" spans="1:7" ht="13">
      <c r="A84" s="3">
        <v>46000</v>
      </c>
      <c r="B84" s="2">
        <f t="shared" si="0"/>
        <v>1497510</v>
      </c>
      <c r="C84" s="1" t="s">
        <v>38</v>
      </c>
      <c r="D84" s="1">
        <v>-189</v>
      </c>
      <c r="E84" s="1" t="s">
        <v>39</v>
      </c>
      <c r="F84" s="4" t="str">
        <f t="shared" si="11"/>
        <v>Card</v>
      </c>
      <c r="G84" s="1" t="s">
        <v>31</v>
      </c>
    </row>
    <row r="85" spans="1:7" ht="13">
      <c r="A85" s="1" t="s">
        <v>4</v>
      </c>
      <c r="B85" s="2">
        <f t="shared" si="0"/>
        <v>45913</v>
      </c>
      <c r="C85" s="1" t="s">
        <v>38</v>
      </c>
      <c r="D85" s="1">
        <v>-168</v>
      </c>
      <c r="E85" s="1" t="s">
        <v>39</v>
      </c>
      <c r="F85" s="4" t="str">
        <f t="shared" si="11"/>
        <v>Card</v>
      </c>
      <c r="G85" s="1" t="s">
        <v>31</v>
      </c>
    </row>
    <row r="86" spans="1:7" ht="13">
      <c r="A86" s="1" t="s">
        <v>129</v>
      </c>
      <c r="B86" s="2">
        <f t="shared" si="0"/>
        <v>45914</v>
      </c>
      <c r="C86" s="1" t="s">
        <v>38</v>
      </c>
      <c r="D86" s="1">
        <v>-40</v>
      </c>
      <c r="E86" s="1" t="s">
        <v>39</v>
      </c>
      <c r="F86" s="4" t="str">
        <f t="shared" si="11"/>
        <v>Card</v>
      </c>
      <c r="G86" s="1" t="s">
        <v>31</v>
      </c>
    </row>
    <row r="87" spans="1:7" ht="13">
      <c r="A87" s="1" t="s">
        <v>129</v>
      </c>
      <c r="B87" s="2">
        <f t="shared" si="0"/>
        <v>45914</v>
      </c>
      <c r="C87" s="1" t="s">
        <v>38</v>
      </c>
      <c r="D87" s="1">
        <v>-39</v>
      </c>
      <c r="E87" s="1" t="s">
        <v>39</v>
      </c>
      <c r="F87" s="4" t="str">
        <f t="shared" si="11"/>
        <v>Card</v>
      </c>
      <c r="G87" s="1" t="s">
        <v>31</v>
      </c>
    </row>
    <row r="88" spans="1:7" ht="13">
      <c r="A88" s="1" t="s">
        <v>130</v>
      </c>
      <c r="B88" s="2">
        <f t="shared" si="0"/>
        <v>45916</v>
      </c>
      <c r="C88" s="1" t="s">
        <v>38</v>
      </c>
      <c r="D88" s="1">
        <v>-70</v>
      </c>
      <c r="E88" s="1" t="s">
        <v>39</v>
      </c>
      <c r="F88" s="4" t="str">
        <f t="shared" si="11"/>
        <v>Card</v>
      </c>
      <c r="G88" s="1" t="s">
        <v>31</v>
      </c>
    </row>
    <row r="89" spans="1:7" ht="13">
      <c r="A89" s="1" t="s">
        <v>130</v>
      </c>
      <c r="B89" s="2">
        <f t="shared" si="0"/>
        <v>45916</v>
      </c>
      <c r="C89" s="1" t="s">
        <v>131</v>
      </c>
      <c r="D89" s="1">
        <v>-50</v>
      </c>
      <c r="E89" s="6" t="s">
        <v>132</v>
      </c>
      <c r="F89" s="4" t="str">
        <f t="shared" si="11"/>
        <v>Card</v>
      </c>
      <c r="G89" s="1" t="s">
        <v>31</v>
      </c>
    </row>
    <row r="90" spans="1:7" ht="13">
      <c r="A90" s="1" t="s">
        <v>133</v>
      </c>
      <c r="B90" s="2">
        <f t="shared" si="0"/>
        <v>45917</v>
      </c>
      <c r="C90" s="1" t="s">
        <v>134</v>
      </c>
      <c r="D90" s="1">
        <v>-151.87</v>
      </c>
      <c r="E90" s="1" t="s">
        <v>135</v>
      </c>
      <c r="F90" s="4" t="str">
        <f t="shared" si="11"/>
        <v>Card</v>
      </c>
      <c r="G90" s="1" t="s">
        <v>31</v>
      </c>
    </row>
    <row r="91" spans="1:7" ht="13">
      <c r="A91" s="1" t="s">
        <v>133</v>
      </c>
      <c r="B91" s="2">
        <f t="shared" si="0"/>
        <v>45917</v>
      </c>
      <c r="C91" s="1" t="s">
        <v>131</v>
      </c>
      <c r="D91" s="1">
        <v>-50</v>
      </c>
      <c r="E91" s="6" t="s">
        <v>132</v>
      </c>
      <c r="F91" s="4" t="str">
        <f t="shared" si="11"/>
        <v>Card</v>
      </c>
      <c r="G91" s="1" t="s">
        <v>31</v>
      </c>
    </row>
    <row r="92" spans="1:7" ht="13">
      <c r="A92" s="1" t="s">
        <v>136</v>
      </c>
      <c r="B92" s="2">
        <f t="shared" si="0"/>
        <v>45918</v>
      </c>
      <c r="C92" s="1" t="s">
        <v>137</v>
      </c>
      <c r="D92" s="1">
        <v>-300</v>
      </c>
      <c r="E92" s="1" t="s">
        <v>138</v>
      </c>
      <c r="F92" s="4" t="str">
        <f t="shared" si="11"/>
        <v>Card</v>
      </c>
      <c r="G92" s="1" t="s">
        <v>31</v>
      </c>
    </row>
    <row r="93" spans="1:7" ht="13">
      <c r="A93" s="1" t="s">
        <v>136</v>
      </c>
      <c r="B93" s="2">
        <f t="shared" si="0"/>
        <v>45918</v>
      </c>
      <c r="C93" s="1" t="s">
        <v>139</v>
      </c>
      <c r="D93" s="1">
        <v>-150.32</v>
      </c>
      <c r="E93" s="1" t="s">
        <v>128</v>
      </c>
      <c r="F93" s="4" t="str">
        <f t="shared" si="11"/>
        <v>Card</v>
      </c>
      <c r="G93" s="1" t="s">
        <v>31</v>
      </c>
    </row>
    <row r="94" spans="1:7" ht="13">
      <c r="A94" s="1" t="s">
        <v>140</v>
      </c>
      <c r="B94" s="2">
        <f t="shared" si="0"/>
        <v>45919</v>
      </c>
      <c r="C94" s="1" t="s">
        <v>141</v>
      </c>
      <c r="D94" s="1">
        <v>-325.04000000000002</v>
      </c>
      <c r="E94" s="1" t="s">
        <v>92</v>
      </c>
      <c r="F94" s="4" t="str">
        <f t="shared" si="11"/>
        <v>Card</v>
      </c>
      <c r="G94" s="1" t="s">
        <v>31</v>
      </c>
    </row>
    <row r="95" spans="1:7" ht="13">
      <c r="A95" s="1" t="s">
        <v>142</v>
      </c>
      <c r="B95" s="2">
        <f t="shared" si="0"/>
        <v>45923</v>
      </c>
      <c r="C95" s="1" t="s">
        <v>143</v>
      </c>
      <c r="D95" s="1">
        <v>-118.52</v>
      </c>
      <c r="E95" s="1" t="s">
        <v>97</v>
      </c>
      <c r="F95" s="4" t="str">
        <f t="shared" si="11"/>
        <v>Card</v>
      </c>
      <c r="G95" s="1" t="s">
        <v>31</v>
      </c>
    </row>
    <row r="96" spans="1:7" ht="13">
      <c r="A96" s="1" t="s">
        <v>142</v>
      </c>
      <c r="B96" s="2">
        <f t="shared" si="0"/>
        <v>45923</v>
      </c>
      <c r="C96" s="1" t="s">
        <v>38</v>
      </c>
      <c r="D96" s="1">
        <v>-30</v>
      </c>
      <c r="E96" s="1" t="s">
        <v>39</v>
      </c>
      <c r="F96" s="4" t="str">
        <f t="shared" si="11"/>
        <v>Card</v>
      </c>
      <c r="G96" s="1" t="s">
        <v>31</v>
      </c>
    </row>
    <row r="97" spans="1:7" ht="13">
      <c r="A97" s="1" t="s">
        <v>5</v>
      </c>
      <c r="B97" s="2">
        <f t="shared" si="0"/>
        <v>45924</v>
      </c>
      <c r="C97" s="1" t="s">
        <v>137</v>
      </c>
      <c r="D97" s="1">
        <v>-300</v>
      </c>
      <c r="E97" s="1" t="s">
        <v>138</v>
      </c>
      <c r="F97" s="4" t="str">
        <f t="shared" si="11"/>
        <v>Card</v>
      </c>
      <c r="G97" s="1" t="s">
        <v>31</v>
      </c>
    </row>
    <row r="98" spans="1:7" ht="13">
      <c r="A98" s="1" t="s">
        <v>144</v>
      </c>
      <c r="B98" s="2">
        <f t="shared" si="0"/>
        <v>45925</v>
      </c>
      <c r="C98" s="1" t="s">
        <v>38</v>
      </c>
      <c r="D98" s="1">
        <v>-135</v>
      </c>
      <c r="E98" s="1" t="s">
        <v>39</v>
      </c>
      <c r="F98" s="4" t="str">
        <f t="shared" si="11"/>
        <v>Card</v>
      </c>
      <c r="G98" s="1" t="s">
        <v>31</v>
      </c>
    </row>
    <row r="99" spans="1:7" ht="13">
      <c r="A99" s="1" t="s">
        <v>144</v>
      </c>
      <c r="B99" s="2">
        <f t="shared" si="0"/>
        <v>45925</v>
      </c>
      <c r="C99" s="1" t="s">
        <v>66</v>
      </c>
      <c r="D99" s="1">
        <v>-120</v>
      </c>
      <c r="E99" s="1">
        <v>365</v>
      </c>
      <c r="F99" s="4" t="str">
        <f t="shared" si="11"/>
        <v>Card</v>
      </c>
      <c r="G99" s="1" t="s">
        <v>31</v>
      </c>
    </row>
    <row r="100" spans="1:7" ht="13">
      <c r="A100" s="1" t="s">
        <v>144</v>
      </c>
      <c r="B100" s="2">
        <f t="shared" si="0"/>
        <v>45925</v>
      </c>
      <c r="C100" s="1" t="s">
        <v>145</v>
      </c>
      <c r="D100" s="1">
        <v>-41.9</v>
      </c>
      <c r="E100" s="1" t="s">
        <v>146</v>
      </c>
      <c r="F100" s="4" t="str">
        <f t="shared" si="11"/>
        <v>Card</v>
      </c>
      <c r="G100" s="1" t="s">
        <v>31</v>
      </c>
    </row>
    <row r="101" spans="1:7" ht="13">
      <c r="A101" s="1" t="s">
        <v>147</v>
      </c>
      <c r="B101" s="2">
        <f t="shared" si="0"/>
        <v>45927</v>
      </c>
      <c r="C101" s="1" t="s">
        <v>148</v>
      </c>
      <c r="D101" s="1">
        <v>-334.6</v>
      </c>
      <c r="E101" s="1" t="s">
        <v>39</v>
      </c>
      <c r="F101" s="4" t="str">
        <f t="shared" si="11"/>
        <v>Card</v>
      </c>
      <c r="G101" s="1" t="s">
        <v>31</v>
      </c>
    </row>
    <row r="102" spans="1:7" ht="13">
      <c r="A102" s="1" t="s">
        <v>147</v>
      </c>
      <c r="B102" s="2">
        <f t="shared" si="0"/>
        <v>45927</v>
      </c>
      <c r="C102" s="1" t="s">
        <v>38</v>
      </c>
      <c r="D102" s="1">
        <v>-140</v>
      </c>
      <c r="E102" s="1" t="s">
        <v>39</v>
      </c>
      <c r="F102" s="4" t="str">
        <f t="shared" si="11"/>
        <v>Card</v>
      </c>
      <c r="G102" s="1" t="s">
        <v>31</v>
      </c>
    </row>
    <row r="103" spans="1:7" ht="13">
      <c r="A103" s="1" t="s">
        <v>149</v>
      </c>
      <c r="B103" s="2">
        <f t="shared" si="0"/>
        <v>45930</v>
      </c>
      <c r="C103" s="1" t="s">
        <v>38</v>
      </c>
      <c r="D103" s="1">
        <v>-140</v>
      </c>
      <c r="E103" s="1" t="s">
        <v>39</v>
      </c>
      <c r="F103" s="4" t="str">
        <f t="shared" si="11"/>
        <v>Card</v>
      </c>
      <c r="G103" s="1" t="s">
        <v>31</v>
      </c>
    </row>
    <row r="104" spans="1:7" ht="13">
      <c r="A104" s="1" t="s">
        <v>149</v>
      </c>
      <c r="B104" s="2">
        <f t="shared" si="0"/>
        <v>45930</v>
      </c>
      <c r="C104" s="1" t="s">
        <v>150</v>
      </c>
      <c r="D104" s="1">
        <v>-118.36</v>
      </c>
      <c r="E104" s="1" t="s">
        <v>97</v>
      </c>
      <c r="F104" s="4" t="str">
        <f t="shared" si="11"/>
        <v>Card</v>
      </c>
      <c r="G104" s="1" t="s">
        <v>31</v>
      </c>
    </row>
    <row r="105" spans="1:7" ht="13">
      <c r="A105" s="3">
        <v>45667</v>
      </c>
      <c r="B105" s="2">
        <f t="shared" si="0"/>
        <v>1377923</v>
      </c>
      <c r="C105" s="1" t="s">
        <v>151</v>
      </c>
      <c r="D105" s="1">
        <v>-484</v>
      </c>
      <c r="E105" s="1" t="s">
        <v>152</v>
      </c>
      <c r="F105" s="4" t="s">
        <v>152</v>
      </c>
      <c r="G105" s="1" t="s">
        <v>36</v>
      </c>
    </row>
    <row r="106" spans="1:7" ht="13">
      <c r="A106" s="3">
        <v>45667</v>
      </c>
      <c r="B106" s="2">
        <f t="shared" si="0"/>
        <v>1377923</v>
      </c>
      <c r="C106" s="1" t="s">
        <v>74</v>
      </c>
      <c r="D106" s="1">
        <v>-81</v>
      </c>
      <c r="E106" s="1" t="s">
        <v>153</v>
      </c>
      <c r="F106" s="4" t="str">
        <f t="shared" ref="F106:F116" si="12">IF(OR(ISNUMBER(SEARCH("Tajeta", C106)), ISNUMBER(SEARCH("tarj", C106))), "Card", "")</f>
        <v>Card</v>
      </c>
      <c r="G106" s="1" t="s">
        <v>36</v>
      </c>
    </row>
    <row r="107" spans="1:7" ht="13">
      <c r="A107" s="3">
        <v>45698</v>
      </c>
      <c r="B107" s="2">
        <f t="shared" si="0"/>
        <v>1390190</v>
      </c>
      <c r="C107" s="1" t="s">
        <v>66</v>
      </c>
      <c r="D107" s="1">
        <v>-115</v>
      </c>
      <c r="E107" s="1">
        <v>365</v>
      </c>
      <c r="F107" s="4" t="str">
        <f t="shared" si="12"/>
        <v>Card</v>
      </c>
      <c r="G107" s="1" t="s">
        <v>31</v>
      </c>
    </row>
    <row r="108" spans="1:7" ht="13">
      <c r="A108" s="3">
        <v>45787</v>
      </c>
      <c r="B108" s="2">
        <f t="shared" si="0"/>
        <v>1422360</v>
      </c>
      <c r="C108" s="1" t="s">
        <v>84</v>
      </c>
      <c r="D108" s="1">
        <v>-50</v>
      </c>
      <c r="E108" s="1">
        <v>365</v>
      </c>
      <c r="F108" s="4" t="str">
        <f t="shared" si="12"/>
        <v>Card</v>
      </c>
      <c r="G108" s="1" t="s">
        <v>31</v>
      </c>
    </row>
    <row r="109" spans="1:7" ht="13">
      <c r="A109" s="3">
        <v>45818</v>
      </c>
      <c r="B109" s="2">
        <f t="shared" si="0"/>
        <v>1431582</v>
      </c>
      <c r="C109" s="1" t="s">
        <v>154</v>
      </c>
      <c r="D109" s="1">
        <v>-195</v>
      </c>
      <c r="E109" s="1" t="s">
        <v>155</v>
      </c>
      <c r="F109" s="4" t="str">
        <f t="shared" si="12"/>
        <v>Card</v>
      </c>
      <c r="G109" s="1" t="s">
        <v>31</v>
      </c>
    </row>
    <row r="110" spans="1:7" ht="13">
      <c r="A110" s="3">
        <v>45818</v>
      </c>
      <c r="B110" s="2">
        <f t="shared" si="0"/>
        <v>1431582</v>
      </c>
      <c r="C110" s="1" t="s">
        <v>38</v>
      </c>
      <c r="D110" s="1">
        <v>-56</v>
      </c>
      <c r="E110" s="1" t="s">
        <v>39</v>
      </c>
      <c r="F110" s="4" t="str">
        <f t="shared" si="12"/>
        <v>Card</v>
      </c>
      <c r="G110" s="1" t="s">
        <v>31</v>
      </c>
    </row>
    <row r="111" spans="1:7" ht="13">
      <c r="A111" s="3">
        <v>45848</v>
      </c>
      <c r="B111" s="2">
        <f t="shared" si="0"/>
        <v>1443453</v>
      </c>
      <c r="C111" s="1" t="s">
        <v>66</v>
      </c>
      <c r="D111" s="1">
        <v>-130</v>
      </c>
      <c r="E111" s="1">
        <v>365</v>
      </c>
      <c r="F111" s="4" t="str">
        <f t="shared" si="12"/>
        <v>Card</v>
      </c>
      <c r="G111" s="1" t="s">
        <v>31</v>
      </c>
    </row>
    <row r="112" spans="1:7" ht="13">
      <c r="A112" s="3">
        <v>45848</v>
      </c>
      <c r="B112" s="2">
        <f t="shared" si="0"/>
        <v>1443453</v>
      </c>
      <c r="C112" s="1" t="s">
        <v>59</v>
      </c>
      <c r="D112" s="1">
        <v>-12.45</v>
      </c>
      <c r="E112" s="1" t="s">
        <v>60</v>
      </c>
      <c r="F112" s="4" t="str">
        <f t="shared" si="12"/>
        <v>Card</v>
      </c>
      <c r="G112" s="1" t="s">
        <v>36</v>
      </c>
    </row>
    <row r="113" spans="1:7" ht="13">
      <c r="A113" s="3">
        <v>45879</v>
      </c>
      <c r="B113" s="2">
        <f t="shared" si="0"/>
        <v>1455719</v>
      </c>
      <c r="C113" s="1" t="s">
        <v>66</v>
      </c>
      <c r="D113" s="1">
        <v>-100</v>
      </c>
      <c r="E113" s="1">
        <v>365</v>
      </c>
      <c r="F113" s="4" t="str">
        <f t="shared" si="12"/>
        <v>Card</v>
      </c>
      <c r="G113" s="1" t="s">
        <v>31</v>
      </c>
    </row>
    <row r="114" spans="1:7" ht="13">
      <c r="A114" s="3">
        <v>45910</v>
      </c>
      <c r="B114" s="2">
        <f t="shared" si="0"/>
        <v>1464941</v>
      </c>
      <c r="C114" s="1" t="s">
        <v>156</v>
      </c>
      <c r="D114" s="1">
        <v>-165</v>
      </c>
      <c r="E114" s="1" t="s">
        <v>157</v>
      </c>
      <c r="F114" s="4" t="str">
        <f t="shared" si="12"/>
        <v>Card</v>
      </c>
      <c r="G114" s="1" t="s">
        <v>31</v>
      </c>
    </row>
    <row r="115" spans="1:7" ht="13">
      <c r="A115" s="3">
        <v>45910</v>
      </c>
      <c r="B115" s="2">
        <f t="shared" si="0"/>
        <v>1464941</v>
      </c>
      <c r="C115" s="1" t="s">
        <v>156</v>
      </c>
      <c r="D115" s="1">
        <v>-160</v>
      </c>
      <c r="E115" s="1" t="s">
        <v>157</v>
      </c>
      <c r="F115" s="4" t="str">
        <f t="shared" si="12"/>
        <v>Card</v>
      </c>
      <c r="G115" s="1" t="s">
        <v>31</v>
      </c>
    </row>
    <row r="116" spans="1:7" ht="13">
      <c r="A116" s="3">
        <v>45910</v>
      </c>
      <c r="B116" s="2">
        <f t="shared" si="0"/>
        <v>1464941</v>
      </c>
      <c r="C116" s="1" t="s">
        <v>84</v>
      </c>
      <c r="D116" s="1">
        <v>-50</v>
      </c>
      <c r="E116" s="1">
        <v>365</v>
      </c>
      <c r="F116" s="4" t="str">
        <f t="shared" si="12"/>
        <v>Card</v>
      </c>
      <c r="G116" s="1" t="s">
        <v>31</v>
      </c>
    </row>
    <row r="117" spans="1:7" ht="13">
      <c r="A117" s="3">
        <v>45910</v>
      </c>
      <c r="B117" s="2">
        <f t="shared" si="0"/>
        <v>1464941</v>
      </c>
      <c r="C117" s="1" t="s">
        <v>158</v>
      </c>
      <c r="D117" s="1">
        <v>-50</v>
      </c>
      <c r="E117" s="1" t="s">
        <v>159</v>
      </c>
      <c r="F117" s="4" t="s">
        <v>30</v>
      </c>
      <c r="G117" s="4" t="s">
        <v>31</v>
      </c>
    </row>
    <row r="118" spans="1:7" ht="13">
      <c r="A118" s="7">
        <v>45940</v>
      </c>
      <c r="B118" s="2">
        <f t="shared" si="0"/>
        <v>1476811</v>
      </c>
      <c r="C118" s="1" t="s">
        <v>160</v>
      </c>
      <c r="D118" s="1">
        <v>-600</v>
      </c>
      <c r="E118" s="1" t="s">
        <v>161</v>
      </c>
      <c r="F118" s="4" t="s">
        <v>49</v>
      </c>
      <c r="G118" s="4" t="s">
        <v>31</v>
      </c>
    </row>
    <row r="119" spans="1:7" ht="13">
      <c r="A119" s="7">
        <v>45940</v>
      </c>
      <c r="B119" s="2">
        <f t="shared" si="0"/>
        <v>1476811</v>
      </c>
      <c r="C119" s="1" t="s">
        <v>162</v>
      </c>
      <c r="D119" s="1">
        <v>-350</v>
      </c>
      <c r="E119" s="1">
        <v>247</v>
      </c>
      <c r="F119" s="4" t="s">
        <v>49</v>
      </c>
      <c r="G119" s="4" t="s">
        <v>31</v>
      </c>
    </row>
    <row r="120" spans="1:7" ht="13">
      <c r="A120" s="7">
        <v>45940</v>
      </c>
      <c r="B120" s="2">
        <f t="shared" si="0"/>
        <v>1476811</v>
      </c>
      <c r="C120" s="1" t="s">
        <v>163</v>
      </c>
      <c r="D120" s="1">
        <v>-345</v>
      </c>
      <c r="E120" s="1" t="s">
        <v>164</v>
      </c>
      <c r="F120" s="4" t="s">
        <v>49</v>
      </c>
      <c r="G120" s="4" t="s">
        <v>31</v>
      </c>
    </row>
    <row r="121" spans="1:7" ht="13">
      <c r="A121" s="7">
        <v>45940</v>
      </c>
      <c r="B121" s="2">
        <f t="shared" si="0"/>
        <v>1476811</v>
      </c>
      <c r="C121" s="1" t="s">
        <v>165</v>
      </c>
      <c r="D121" s="1">
        <v>-120</v>
      </c>
      <c r="E121" s="1" t="s">
        <v>166</v>
      </c>
      <c r="F121" s="4" t="str">
        <f t="shared" ref="F121:F123" si="13">IF(OR(ISNUMBER(SEARCH("Tajeta", C121)), ISNUMBER(SEARCH("tarj", C121))), "Card", "")</f>
        <v>Card</v>
      </c>
      <c r="G121" s="1" t="s">
        <v>31</v>
      </c>
    </row>
    <row r="122" spans="1:7" ht="13">
      <c r="A122" s="7">
        <v>45940</v>
      </c>
      <c r="B122" s="2">
        <f t="shared" si="0"/>
        <v>1476811</v>
      </c>
      <c r="C122" s="1" t="s">
        <v>167</v>
      </c>
      <c r="D122" s="1">
        <v>-119.01</v>
      </c>
      <c r="E122" s="1" t="s">
        <v>168</v>
      </c>
      <c r="F122" s="4" t="str">
        <f t="shared" si="13"/>
        <v>Card</v>
      </c>
      <c r="G122" s="1" t="s">
        <v>31</v>
      </c>
    </row>
    <row r="123" spans="1:7" ht="13">
      <c r="A123" s="7">
        <v>45971</v>
      </c>
      <c r="B123" s="2">
        <f t="shared" si="0"/>
        <v>1489079</v>
      </c>
      <c r="C123" s="1" t="s">
        <v>131</v>
      </c>
      <c r="D123" s="1">
        <v>-50</v>
      </c>
      <c r="E123" s="6" t="s">
        <v>132</v>
      </c>
      <c r="F123" s="4" t="str">
        <f t="shared" si="13"/>
        <v>Card</v>
      </c>
      <c r="G123" s="1" t="s">
        <v>31</v>
      </c>
    </row>
    <row r="124" spans="1:7" ht="13">
      <c r="A124" s="1" t="s">
        <v>169</v>
      </c>
      <c r="B124" s="2">
        <f t="shared" si="0"/>
        <v>45943</v>
      </c>
      <c r="C124" s="1" t="s">
        <v>170</v>
      </c>
      <c r="D124" s="5">
        <v>-1535</v>
      </c>
      <c r="E124" s="1" t="s">
        <v>171</v>
      </c>
      <c r="F124" s="1" t="s">
        <v>172</v>
      </c>
      <c r="G124" s="1" t="s">
        <v>36</v>
      </c>
    </row>
    <row r="125" spans="1:7" ht="13">
      <c r="A125" s="1" t="s">
        <v>169</v>
      </c>
      <c r="B125" s="2">
        <f t="shared" si="0"/>
        <v>45943</v>
      </c>
      <c r="C125" s="1" t="s">
        <v>173</v>
      </c>
      <c r="D125" s="1">
        <v>-369.97</v>
      </c>
      <c r="E125" s="1" t="s">
        <v>39</v>
      </c>
      <c r="F125" s="4" t="str">
        <f>IF(OR(ISNUMBER(SEARCH("Tajeta", C125)), ISNUMBER(SEARCH("tarj", C125))), "Card", "")</f>
        <v>Card</v>
      </c>
      <c r="G125" s="1" t="s">
        <v>31</v>
      </c>
    </row>
    <row r="126" spans="1:7" ht="13">
      <c r="A126" s="1" t="s">
        <v>169</v>
      </c>
      <c r="B126" s="2">
        <f t="shared" si="0"/>
        <v>45943</v>
      </c>
      <c r="C126" s="1" t="s">
        <v>174</v>
      </c>
      <c r="D126" s="1">
        <v>-280</v>
      </c>
      <c r="E126" s="1" t="s">
        <v>175</v>
      </c>
      <c r="F126" s="4" t="s">
        <v>49</v>
      </c>
      <c r="G126" s="4" t="s">
        <v>31</v>
      </c>
    </row>
    <row r="127" spans="1:7" ht="13">
      <c r="A127" s="1" t="s">
        <v>169</v>
      </c>
      <c r="B127" s="2">
        <f t="shared" si="0"/>
        <v>45943</v>
      </c>
      <c r="C127" s="1" t="s">
        <v>176</v>
      </c>
      <c r="D127" s="1">
        <v>-170</v>
      </c>
      <c r="E127" s="1" t="s">
        <v>177</v>
      </c>
      <c r="F127" s="4" t="s">
        <v>49</v>
      </c>
      <c r="G127" s="4" t="s">
        <v>31</v>
      </c>
    </row>
    <row r="128" spans="1:7" ht="13">
      <c r="A128" s="1" t="s">
        <v>169</v>
      </c>
      <c r="B128" s="2">
        <f t="shared" si="0"/>
        <v>45943</v>
      </c>
      <c r="C128" s="1" t="s">
        <v>178</v>
      </c>
      <c r="D128" s="1">
        <v>-80</v>
      </c>
      <c r="E128" s="1" t="s">
        <v>179</v>
      </c>
      <c r="F128" s="4" t="s">
        <v>49</v>
      </c>
      <c r="G128" s="4" t="s">
        <v>31</v>
      </c>
    </row>
    <row r="129" spans="1:7" ht="13">
      <c r="A129" s="1" t="s">
        <v>180</v>
      </c>
      <c r="B129" s="2">
        <f t="shared" si="0"/>
        <v>45944</v>
      </c>
      <c r="C129" s="1" t="s">
        <v>66</v>
      </c>
      <c r="D129" s="1">
        <v>-100</v>
      </c>
      <c r="E129" s="1">
        <v>365</v>
      </c>
      <c r="F129" s="4" t="str">
        <f t="shared" ref="F129:F153" si="14">IF(OR(ISNUMBER(SEARCH("Tajeta", C129)), ISNUMBER(SEARCH("tarj", C129))), "Card", "")</f>
        <v>Card</v>
      </c>
      <c r="G129" s="1" t="s">
        <v>31</v>
      </c>
    </row>
    <row r="130" spans="1:7" ht="13">
      <c r="A130" s="1" t="s">
        <v>181</v>
      </c>
      <c r="B130" s="2">
        <f t="shared" si="0"/>
        <v>45945</v>
      </c>
      <c r="C130" s="1" t="s">
        <v>182</v>
      </c>
      <c r="D130" s="1">
        <v>-396.86</v>
      </c>
      <c r="E130" s="1" t="s">
        <v>183</v>
      </c>
      <c r="F130" s="4" t="str">
        <f t="shared" si="14"/>
        <v>Card</v>
      </c>
      <c r="G130" s="1" t="s">
        <v>31</v>
      </c>
    </row>
    <row r="131" spans="1:7" ht="13">
      <c r="A131" s="1" t="s">
        <v>184</v>
      </c>
      <c r="B131" s="2">
        <f t="shared" si="0"/>
        <v>45946</v>
      </c>
      <c r="C131" s="1" t="s">
        <v>38</v>
      </c>
      <c r="D131" s="1">
        <v>-98</v>
      </c>
      <c r="E131" s="1" t="s">
        <v>39</v>
      </c>
      <c r="F131" s="4" t="str">
        <f t="shared" si="14"/>
        <v>Card</v>
      </c>
      <c r="G131" s="1" t="s">
        <v>31</v>
      </c>
    </row>
    <row r="132" spans="1:7" ht="13">
      <c r="A132" s="1" t="s">
        <v>185</v>
      </c>
      <c r="B132" s="2">
        <f t="shared" si="0"/>
        <v>45947</v>
      </c>
      <c r="C132" s="1" t="s">
        <v>186</v>
      </c>
      <c r="D132" s="1">
        <v>-150</v>
      </c>
      <c r="E132" s="1" t="s">
        <v>187</v>
      </c>
      <c r="F132" s="4" t="str">
        <f t="shared" si="14"/>
        <v>Card</v>
      </c>
      <c r="G132" s="1" t="s">
        <v>31</v>
      </c>
    </row>
    <row r="133" spans="1:7" ht="13">
      <c r="A133" s="1" t="s">
        <v>185</v>
      </c>
      <c r="B133" s="2">
        <f t="shared" si="0"/>
        <v>45947</v>
      </c>
      <c r="C133" s="1" t="s">
        <v>38</v>
      </c>
      <c r="D133" s="1">
        <v>-70</v>
      </c>
      <c r="E133" s="1" t="s">
        <v>39</v>
      </c>
      <c r="F133" s="4" t="str">
        <f t="shared" si="14"/>
        <v>Card</v>
      </c>
      <c r="G133" s="1" t="s">
        <v>31</v>
      </c>
    </row>
    <row r="134" spans="1:7" ht="13">
      <c r="A134" s="1" t="s">
        <v>188</v>
      </c>
      <c r="B134" s="2">
        <f t="shared" si="0"/>
        <v>45948</v>
      </c>
      <c r="C134" s="1" t="s">
        <v>66</v>
      </c>
      <c r="D134" s="1">
        <v>-50</v>
      </c>
      <c r="E134" s="1">
        <v>365</v>
      </c>
      <c r="F134" s="4" t="str">
        <f t="shared" si="14"/>
        <v>Card</v>
      </c>
      <c r="G134" s="1" t="s">
        <v>31</v>
      </c>
    </row>
    <row r="135" spans="1:7" ht="13">
      <c r="A135" s="1" t="s">
        <v>189</v>
      </c>
      <c r="B135" s="2">
        <f t="shared" si="0"/>
        <v>45951</v>
      </c>
      <c r="C135" s="1" t="s">
        <v>66</v>
      </c>
      <c r="D135" s="1">
        <v>-100</v>
      </c>
      <c r="E135" s="1">
        <v>365</v>
      </c>
      <c r="F135" s="4" t="str">
        <f t="shared" si="14"/>
        <v>Card</v>
      </c>
      <c r="G135" s="1" t="s">
        <v>31</v>
      </c>
    </row>
    <row r="136" spans="1:7" ht="13">
      <c r="A136" s="1" t="s">
        <v>190</v>
      </c>
      <c r="B136" s="2">
        <f t="shared" si="0"/>
        <v>45952</v>
      </c>
      <c r="C136" s="1" t="s">
        <v>38</v>
      </c>
      <c r="D136" s="1">
        <v>-35</v>
      </c>
      <c r="E136" s="1" t="s">
        <v>39</v>
      </c>
      <c r="F136" s="4" t="str">
        <f t="shared" si="14"/>
        <v>Card</v>
      </c>
      <c r="G136" s="1" t="s">
        <v>31</v>
      </c>
    </row>
    <row r="137" spans="1:7" ht="13">
      <c r="A137" s="1" t="s">
        <v>191</v>
      </c>
      <c r="B137" s="2">
        <f t="shared" si="0"/>
        <v>45953</v>
      </c>
      <c r="C137" s="1" t="s">
        <v>167</v>
      </c>
      <c r="D137" s="1">
        <v>-118.97</v>
      </c>
      <c r="E137" s="1" t="s">
        <v>192</v>
      </c>
      <c r="F137" s="4" t="str">
        <f t="shared" si="14"/>
        <v>Card</v>
      </c>
      <c r="G137" s="1" t="s">
        <v>31</v>
      </c>
    </row>
    <row r="138" spans="1:7" ht="13">
      <c r="A138" s="1" t="s">
        <v>193</v>
      </c>
      <c r="B138" s="2">
        <f t="shared" si="0"/>
        <v>45954</v>
      </c>
      <c r="C138" s="1" t="s">
        <v>66</v>
      </c>
      <c r="D138" s="1">
        <v>-100</v>
      </c>
      <c r="E138" s="1">
        <v>365</v>
      </c>
      <c r="F138" s="4" t="str">
        <f t="shared" si="14"/>
        <v>Card</v>
      </c>
      <c r="G138" s="1" t="s">
        <v>31</v>
      </c>
    </row>
    <row r="139" spans="1:7" ht="13">
      <c r="A139" s="1" t="s">
        <v>194</v>
      </c>
      <c r="B139" s="2">
        <f t="shared" si="0"/>
        <v>45957</v>
      </c>
      <c r="C139" s="1" t="s">
        <v>84</v>
      </c>
      <c r="D139" s="1">
        <v>-50</v>
      </c>
      <c r="E139" s="1">
        <v>365</v>
      </c>
      <c r="F139" s="4" t="str">
        <f t="shared" si="14"/>
        <v>Card</v>
      </c>
      <c r="G139" s="1" t="s">
        <v>31</v>
      </c>
    </row>
    <row r="140" spans="1:7" ht="13">
      <c r="A140" s="1" t="s">
        <v>194</v>
      </c>
      <c r="B140" s="2">
        <f t="shared" si="0"/>
        <v>45957</v>
      </c>
      <c r="C140" s="1" t="s">
        <v>38</v>
      </c>
      <c r="D140" s="1">
        <v>-35</v>
      </c>
      <c r="E140" s="1" t="s">
        <v>39</v>
      </c>
      <c r="F140" s="4" t="str">
        <f t="shared" si="14"/>
        <v>Card</v>
      </c>
      <c r="G140" s="1" t="s">
        <v>31</v>
      </c>
    </row>
    <row r="141" spans="1:7" ht="13">
      <c r="A141" s="1" t="s">
        <v>195</v>
      </c>
      <c r="B141" s="2">
        <f t="shared" si="0"/>
        <v>45958</v>
      </c>
      <c r="C141" s="1" t="s">
        <v>38</v>
      </c>
      <c r="D141" s="1">
        <v>-140</v>
      </c>
      <c r="E141" s="1" t="s">
        <v>39</v>
      </c>
      <c r="F141" s="4" t="str">
        <f t="shared" si="14"/>
        <v>Card</v>
      </c>
      <c r="G141" s="1" t="s">
        <v>31</v>
      </c>
    </row>
    <row r="142" spans="1:7" ht="13">
      <c r="A142" s="1" t="s">
        <v>196</v>
      </c>
      <c r="B142" s="2">
        <f t="shared" si="0"/>
        <v>45959</v>
      </c>
      <c r="C142" s="1" t="s">
        <v>66</v>
      </c>
      <c r="D142" s="1">
        <v>-65</v>
      </c>
      <c r="E142" s="1">
        <v>365</v>
      </c>
      <c r="F142" s="4" t="str">
        <f t="shared" si="14"/>
        <v>Card</v>
      </c>
      <c r="G142" s="1" t="s">
        <v>31</v>
      </c>
    </row>
    <row r="143" spans="1:7" ht="13">
      <c r="A143" s="1" t="s">
        <v>197</v>
      </c>
      <c r="B143" s="2">
        <f t="shared" si="0"/>
        <v>45960</v>
      </c>
      <c r="C143" s="1" t="s">
        <v>38</v>
      </c>
      <c r="D143" s="1">
        <v>-350</v>
      </c>
      <c r="E143" s="1" t="s">
        <v>39</v>
      </c>
      <c r="F143" s="4" t="str">
        <f t="shared" si="14"/>
        <v>Card</v>
      </c>
      <c r="G143" s="1" t="s">
        <v>31</v>
      </c>
    </row>
    <row r="144" spans="1:7" ht="13">
      <c r="A144" s="1" t="s">
        <v>197</v>
      </c>
      <c r="B144" s="2">
        <f t="shared" si="0"/>
        <v>45960</v>
      </c>
      <c r="C144" s="1" t="s">
        <v>38</v>
      </c>
      <c r="D144" s="1">
        <v>-140</v>
      </c>
      <c r="E144" s="1" t="s">
        <v>39</v>
      </c>
      <c r="F144" s="4" t="str">
        <f t="shared" si="14"/>
        <v>Card</v>
      </c>
      <c r="G144" s="1" t="s">
        <v>31</v>
      </c>
    </row>
    <row r="145" spans="1:7" ht="13">
      <c r="A145" s="1" t="s">
        <v>197</v>
      </c>
      <c r="B145" s="2">
        <f t="shared" si="0"/>
        <v>45960</v>
      </c>
      <c r="C145" s="1" t="s">
        <v>38</v>
      </c>
      <c r="D145" s="1">
        <v>-35</v>
      </c>
      <c r="E145" s="1" t="s">
        <v>39</v>
      </c>
      <c r="F145" s="4" t="str">
        <f t="shared" si="14"/>
        <v>Card</v>
      </c>
      <c r="G145" s="1" t="s">
        <v>31</v>
      </c>
    </row>
    <row r="146" spans="1:7" ht="13">
      <c r="A146" s="3">
        <v>45668</v>
      </c>
      <c r="B146" s="2">
        <f t="shared" si="0"/>
        <v>1378319</v>
      </c>
      <c r="C146" s="1" t="s">
        <v>74</v>
      </c>
      <c r="D146" s="1">
        <v>-81</v>
      </c>
      <c r="E146" s="1" t="s">
        <v>153</v>
      </c>
      <c r="F146" s="4" t="str">
        <f t="shared" si="14"/>
        <v>Card</v>
      </c>
      <c r="G146" s="1" t="s">
        <v>36</v>
      </c>
    </row>
    <row r="147" spans="1:7" ht="13">
      <c r="A147" s="3">
        <v>45668</v>
      </c>
      <c r="B147" s="2">
        <f t="shared" si="0"/>
        <v>1378319</v>
      </c>
      <c r="C147" s="1" t="s">
        <v>66</v>
      </c>
      <c r="D147" s="1">
        <v>-50</v>
      </c>
      <c r="E147" s="1">
        <v>365</v>
      </c>
      <c r="F147" s="4" t="str">
        <f t="shared" si="14"/>
        <v>Card</v>
      </c>
      <c r="G147" s="1" t="s">
        <v>31</v>
      </c>
    </row>
    <row r="148" spans="1:7" ht="13">
      <c r="A148" s="3">
        <v>45668</v>
      </c>
      <c r="B148" s="2">
        <f t="shared" si="0"/>
        <v>1378319</v>
      </c>
      <c r="C148" s="1" t="s">
        <v>66</v>
      </c>
      <c r="D148" s="1">
        <v>-50</v>
      </c>
      <c r="E148" s="1">
        <v>365</v>
      </c>
      <c r="F148" s="4" t="str">
        <f t="shared" si="14"/>
        <v>Card</v>
      </c>
      <c r="G148" s="1" t="s">
        <v>31</v>
      </c>
    </row>
    <row r="149" spans="1:7" ht="13">
      <c r="A149" s="3">
        <v>45699</v>
      </c>
      <c r="B149" s="2">
        <f t="shared" si="0"/>
        <v>1390583</v>
      </c>
      <c r="C149" s="1" t="s">
        <v>71</v>
      </c>
      <c r="D149" s="1">
        <v>-50</v>
      </c>
      <c r="E149" s="1">
        <v>365</v>
      </c>
      <c r="F149" s="4" t="str">
        <f t="shared" si="14"/>
        <v>Card</v>
      </c>
      <c r="G149" s="1" t="s">
        <v>31</v>
      </c>
    </row>
    <row r="150" spans="1:7" ht="13">
      <c r="A150" s="3">
        <v>45699</v>
      </c>
      <c r="B150" s="2">
        <f t="shared" si="0"/>
        <v>1390583</v>
      </c>
      <c r="C150" s="1" t="s">
        <v>84</v>
      </c>
      <c r="D150" s="1">
        <v>-40</v>
      </c>
      <c r="E150" s="1">
        <v>365</v>
      </c>
      <c r="F150" s="4" t="str">
        <f t="shared" si="14"/>
        <v>Card</v>
      </c>
      <c r="G150" s="1" t="s">
        <v>31</v>
      </c>
    </row>
    <row r="151" spans="1:7" ht="13">
      <c r="A151" s="3">
        <v>45699</v>
      </c>
      <c r="B151" s="2">
        <f t="shared" si="0"/>
        <v>1390583</v>
      </c>
      <c r="C151" s="1" t="s">
        <v>38</v>
      </c>
      <c r="D151" s="1">
        <v>-35</v>
      </c>
      <c r="E151" s="1" t="s">
        <v>39</v>
      </c>
      <c r="F151" s="4" t="str">
        <f t="shared" si="14"/>
        <v>Card</v>
      </c>
      <c r="G151" s="1" t="s">
        <v>31</v>
      </c>
    </row>
    <row r="152" spans="1:7" ht="13">
      <c r="A152" s="3">
        <v>45727</v>
      </c>
      <c r="B152" s="2">
        <f t="shared" si="0"/>
        <v>1398619</v>
      </c>
      <c r="C152" s="1" t="s">
        <v>198</v>
      </c>
      <c r="D152" s="1">
        <v>-207.94</v>
      </c>
      <c r="E152" s="1" t="s">
        <v>39</v>
      </c>
      <c r="F152" s="4" t="str">
        <f t="shared" si="14"/>
        <v>Card</v>
      </c>
      <c r="G152" s="1" t="s">
        <v>31</v>
      </c>
    </row>
    <row r="153" spans="1:7" ht="13">
      <c r="A153" s="3">
        <v>45727</v>
      </c>
      <c r="B153" s="2">
        <f t="shared" si="0"/>
        <v>1398619</v>
      </c>
      <c r="C153" s="1" t="s">
        <v>38</v>
      </c>
      <c r="D153" s="1">
        <v>-126</v>
      </c>
      <c r="E153" s="1" t="s">
        <v>39</v>
      </c>
      <c r="F153" s="4" t="str">
        <f t="shared" si="14"/>
        <v>Card</v>
      </c>
      <c r="G153" s="1" t="s">
        <v>31</v>
      </c>
    </row>
    <row r="154" spans="1:7" ht="13">
      <c r="A154" s="3">
        <v>45758</v>
      </c>
      <c r="B154" s="2">
        <f t="shared" si="0"/>
        <v>1410886</v>
      </c>
      <c r="C154" s="1" t="s">
        <v>199</v>
      </c>
      <c r="D154" s="1">
        <v>-955</v>
      </c>
      <c r="E154" s="1" t="s">
        <v>200</v>
      </c>
      <c r="F154" s="4" t="s">
        <v>49</v>
      </c>
      <c r="G154" s="4" t="s">
        <v>31</v>
      </c>
    </row>
    <row r="155" spans="1:7" ht="13">
      <c r="A155" s="3">
        <v>45758</v>
      </c>
      <c r="B155" s="2">
        <f t="shared" si="0"/>
        <v>1410886</v>
      </c>
      <c r="C155" s="1" t="s">
        <v>201</v>
      </c>
      <c r="D155" s="1">
        <v>-500</v>
      </c>
      <c r="E155" s="1" t="s">
        <v>202</v>
      </c>
      <c r="F155" s="4" t="s">
        <v>49</v>
      </c>
      <c r="G155" s="4" t="s">
        <v>31</v>
      </c>
    </row>
    <row r="156" spans="1:7" ht="13">
      <c r="A156" s="3">
        <v>45758</v>
      </c>
      <c r="B156" s="2">
        <f t="shared" si="0"/>
        <v>1410886</v>
      </c>
      <c r="C156" s="1" t="s">
        <v>203</v>
      </c>
      <c r="D156" s="1">
        <v>-280</v>
      </c>
      <c r="E156" s="1" t="s">
        <v>88</v>
      </c>
      <c r="F156" s="4" t="s">
        <v>49</v>
      </c>
      <c r="G156" s="4" t="s">
        <v>31</v>
      </c>
    </row>
    <row r="157" spans="1:7" ht="13">
      <c r="A157" s="3">
        <v>45758</v>
      </c>
      <c r="B157" s="2">
        <f t="shared" si="0"/>
        <v>1410886</v>
      </c>
      <c r="C157" s="1" t="s">
        <v>204</v>
      </c>
      <c r="D157" s="1">
        <v>-83.24</v>
      </c>
      <c r="E157" s="1" t="s">
        <v>205</v>
      </c>
      <c r="F157" s="4" t="str">
        <f>IF(OR(ISNUMBER(SEARCH("Tajeta", C157)), ISNUMBER(SEARCH("tarj", C157))), "Card", "")</f>
        <v>Card</v>
      </c>
      <c r="G157" s="1" t="s">
        <v>31</v>
      </c>
    </row>
    <row r="158" spans="1:7" ht="13">
      <c r="A158" s="3">
        <v>45788</v>
      </c>
      <c r="B158" s="2">
        <f t="shared" si="0"/>
        <v>1422756</v>
      </c>
      <c r="C158" s="1" t="s">
        <v>206</v>
      </c>
      <c r="D158" s="5">
        <v>-1535</v>
      </c>
      <c r="E158" s="1" t="s">
        <v>207</v>
      </c>
      <c r="F158" s="1" t="s">
        <v>172</v>
      </c>
      <c r="G158" s="1" t="s">
        <v>36</v>
      </c>
    </row>
    <row r="159" spans="1:7" ht="13">
      <c r="A159" s="3">
        <v>45788</v>
      </c>
      <c r="B159" s="2">
        <f t="shared" si="0"/>
        <v>1422756</v>
      </c>
      <c r="C159" s="1" t="s">
        <v>84</v>
      </c>
      <c r="D159" s="1">
        <v>-50</v>
      </c>
      <c r="E159" s="1">
        <v>365</v>
      </c>
      <c r="F159" s="4" t="str">
        <f t="shared" ref="F159:F165" si="15">IF(OR(ISNUMBER(SEARCH("Tajeta", C159)), ISNUMBER(SEARCH("tarj", C159))), "Card", "")</f>
        <v>Card</v>
      </c>
      <c r="G159" s="1" t="s">
        <v>31</v>
      </c>
    </row>
    <row r="160" spans="1:7" ht="13">
      <c r="A160" s="3">
        <v>45788</v>
      </c>
      <c r="B160" s="2">
        <f t="shared" si="0"/>
        <v>1422756</v>
      </c>
      <c r="C160" s="1" t="s">
        <v>66</v>
      </c>
      <c r="D160" s="1">
        <v>-50</v>
      </c>
      <c r="E160" s="1">
        <v>365</v>
      </c>
      <c r="F160" s="4" t="str">
        <f t="shared" si="15"/>
        <v>Card</v>
      </c>
      <c r="G160" s="1" t="s">
        <v>31</v>
      </c>
    </row>
    <row r="161" spans="1:7" ht="13">
      <c r="A161" s="3">
        <v>45819</v>
      </c>
      <c r="B161" s="2">
        <f t="shared" si="0"/>
        <v>1431978</v>
      </c>
      <c r="C161" s="1" t="s">
        <v>208</v>
      </c>
      <c r="D161" s="1">
        <v>-343.35</v>
      </c>
      <c r="E161" s="1" t="s">
        <v>209</v>
      </c>
      <c r="F161" s="4" t="str">
        <f t="shared" si="15"/>
        <v>Card</v>
      </c>
      <c r="G161" s="1" t="s">
        <v>31</v>
      </c>
    </row>
    <row r="162" spans="1:7" ht="13">
      <c r="A162" s="3">
        <v>45819</v>
      </c>
      <c r="B162" s="2">
        <f t="shared" si="0"/>
        <v>1431978</v>
      </c>
      <c r="C162" s="1" t="s">
        <v>210</v>
      </c>
      <c r="D162" s="1">
        <v>-70</v>
      </c>
      <c r="E162" s="1" t="s">
        <v>211</v>
      </c>
      <c r="F162" s="4" t="str">
        <f t="shared" si="15"/>
        <v>Card</v>
      </c>
      <c r="G162" s="1" t="s">
        <v>31</v>
      </c>
    </row>
    <row r="163" spans="1:7" ht="13">
      <c r="A163" s="3">
        <v>45819</v>
      </c>
      <c r="B163" s="2">
        <f t="shared" si="0"/>
        <v>1431978</v>
      </c>
      <c r="C163" s="1" t="s">
        <v>66</v>
      </c>
      <c r="D163" s="1">
        <v>-50</v>
      </c>
      <c r="E163" s="1">
        <v>365</v>
      </c>
      <c r="F163" s="4" t="str">
        <f t="shared" si="15"/>
        <v>Card</v>
      </c>
      <c r="G163" s="1" t="s">
        <v>31</v>
      </c>
    </row>
    <row r="164" spans="1:7" ht="13">
      <c r="A164" s="3">
        <v>45819</v>
      </c>
      <c r="B164" s="2">
        <f t="shared" si="0"/>
        <v>1431978</v>
      </c>
      <c r="C164" s="1" t="s">
        <v>82</v>
      </c>
      <c r="D164" s="1">
        <v>-12.65</v>
      </c>
      <c r="E164" s="1" t="s">
        <v>60</v>
      </c>
      <c r="F164" s="4" t="str">
        <f t="shared" si="15"/>
        <v>Card</v>
      </c>
      <c r="G164" s="1" t="s">
        <v>36</v>
      </c>
    </row>
    <row r="165" spans="1:7" ht="13">
      <c r="A165" s="3">
        <v>45880</v>
      </c>
      <c r="B165" s="2">
        <f t="shared" si="0"/>
        <v>1456115</v>
      </c>
      <c r="C165" s="1" t="s">
        <v>212</v>
      </c>
      <c r="D165" s="1">
        <v>-50</v>
      </c>
      <c r="E165" s="1" t="s">
        <v>213</v>
      </c>
      <c r="F165" s="4" t="str">
        <f t="shared" si="15"/>
        <v>Card</v>
      </c>
      <c r="G165" s="1" t="s">
        <v>31</v>
      </c>
    </row>
    <row r="166" spans="1:7" ht="13">
      <c r="A166" s="7">
        <v>46002</v>
      </c>
      <c r="B166" s="2">
        <f t="shared" si="0"/>
        <v>1498303</v>
      </c>
      <c r="C166" s="1" t="s">
        <v>214</v>
      </c>
      <c r="D166" s="1">
        <v>-135</v>
      </c>
      <c r="E166" s="1" t="s">
        <v>64</v>
      </c>
      <c r="F166" s="4" t="s">
        <v>49</v>
      </c>
      <c r="G166" s="4" t="s">
        <v>31</v>
      </c>
    </row>
    <row r="167" spans="1:7" ht="13">
      <c r="A167" s="7">
        <v>46002</v>
      </c>
      <c r="B167" s="2">
        <f t="shared" si="0"/>
        <v>1498303</v>
      </c>
      <c r="C167" s="1" t="s">
        <v>215</v>
      </c>
      <c r="D167" s="1">
        <v>-60</v>
      </c>
      <c r="E167" s="1" t="s">
        <v>216</v>
      </c>
      <c r="F167" s="4" t="s">
        <v>49</v>
      </c>
      <c r="G167" s="4" t="s">
        <v>31</v>
      </c>
    </row>
    <row r="168" spans="1:7" ht="13">
      <c r="A168" s="1" t="s">
        <v>217</v>
      </c>
      <c r="B168" s="2">
        <f t="shared" si="0"/>
        <v>45974</v>
      </c>
      <c r="C168" s="1" t="s">
        <v>38</v>
      </c>
      <c r="D168" s="1">
        <v>-140</v>
      </c>
      <c r="E168" s="1" t="s">
        <v>39</v>
      </c>
      <c r="F168" s="4" t="str">
        <f t="shared" ref="F168:F171" si="16">IF(OR(ISNUMBER(SEARCH("Tajeta", C168)), ISNUMBER(SEARCH("tarj", C168))), "Card", "")</f>
        <v>Card</v>
      </c>
      <c r="G168" s="1" t="s">
        <v>31</v>
      </c>
    </row>
    <row r="169" spans="1:7" ht="13">
      <c r="A169" s="1" t="s">
        <v>218</v>
      </c>
      <c r="B169" s="2">
        <f t="shared" si="0"/>
        <v>45976</v>
      </c>
      <c r="C169" s="1" t="s">
        <v>219</v>
      </c>
      <c r="D169" s="1">
        <v>-70</v>
      </c>
      <c r="E169" s="1" t="s">
        <v>220</v>
      </c>
      <c r="F169" s="4" t="str">
        <f t="shared" si="16"/>
        <v>Card</v>
      </c>
      <c r="G169" s="1" t="s">
        <v>31</v>
      </c>
    </row>
    <row r="170" spans="1:7" ht="13">
      <c r="A170" s="1" t="s">
        <v>221</v>
      </c>
      <c r="B170" s="2">
        <f t="shared" si="0"/>
        <v>45980</v>
      </c>
      <c r="C170" s="1" t="s">
        <v>219</v>
      </c>
      <c r="D170" s="1">
        <v>-70</v>
      </c>
      <c r="E170" s="1" t="s">
        <v>220</v>
      </c>
      <c r="F170" s="4" t="str">
        <f t="shared" si="16"/>
        <v>Card</v>
      </c>
      <c r="G170" s="1" t="s">
        <v>31</v>
      </c>
    </row>
    <row r="171" spans="1:7" ht="13">
      <c r="A171" s="1" t="s">
        <v>222</v>
      </c>
      <c r="B171" s="2">
        <f t="shared" si="0"/>
        <v>45984</v>
      </c>
      <c r="C171" s="1" t="s">
        <v>223</v>
      </c>
      <c r="D171" s="1">
        <v>-185</v>
      </c>
      <c r="E171" s="1" t="s">
        <v>224</v>
      </c>
      <c r="F171" s="4" t="str">
        <f t="shared" si="16"/>
        <v>Card</v>
      </c>
      <c r="G171" s="1" t="s">
        <v>31</v>
      </c>
    </row>
    <row r="172" spans="1:7" ht="13">
      <c r="A172" s="1" t="s">
        <v>6</v>
      </c>
      <c r="B172" s="2">
        <f t="shared" si="0"/>
        <v>45985</v>
      </c>
      <c r="C172" s="1" t="s">
        <v>225</v>
      </c>
      <c r="D172" s="1">
        <v>-776</v>
      </c>
      <c r="E172" s="1" t="s">
        <v>226</v>
      </c>
      <c r="F172" s="4" t="s">
        <v>49</v>
      </c>
      <c r="G172" s="4" t="s">
        <v>31</v>
      </c>
    </row>
    <row r="173" spans="1:7" ht="13">
      <c r="A173" s="1" t="s">
        <v>6</v>
      </c>
      <c r="B173" s="2">
        <f t="shared" si="0"/>
        <v>45985</v>
      </c>
      <c r="C173" s="1" t="s">
        <v>227</v>
      </c>
      <c r="D173" s="1">
        <v>-585</v>
      </c>
      <c r="E173" s="1">
        <v>247</v>
      </c>
      <c r="F173" s="4" t="s">
        <v>49</v>
      </c>
      <c r="G173" s="4" t="s">
        <v>31</v>
      </c>
    </row>
    <row r="174" spans="1:7" ht="13">
      <c r="A174" s="1" t="s">
        <v>6</v>
      </c>
      <c r="B174" s="2">
        <f t="shared" si="0"/>
        <v>45985</v>
      </c>
      <c r="C174" s="1" t="s">
        <v>228</v>
      </c>
      <c r="D174" s="1">
        <v>-190</v>
      </c>
      <c r="E174" s="1" t="s">
        <v>175</v>
      </c>
      <c r="F174" s="4" t="s">
        <v>49</v>
      </c>
      <c r="G174" s="4" t="s">
        <v>31</v>
      </c>
    </row>
    <row r="175" spans="1:7" ht="13">
      <c r="A175" s="1" t="s">
        <v>6</v>
      </c>
      <c r="B175" s="2">
        <f t="shared" si="0"/>
        <v>45985</v>
      </c>
      <c r="C175" s="1" t="s">
        <v>38</v>
      </c>
      <c r="D175" s="1">
        <v>-140</v>
      </c>
      <c r="E175" s="1" t="s">
        <v>39</v>
      </c>
      <c r="F175" s="4" t="str">
        <f t="shared" ref="F175:F176" si="17">IF(OR(ISNUMBER(SEARCH("Tajeta", C175)), ISNUMBER(SEARCH("tarj", C175))), "Card", "")</f>
        <v>Card</v>
      </c>
      <c r="G175" s="1" t="s">
        <v>31</v>
      </c>
    </row>
    <row r="176" spans="1:7" ht="13">
      <c r="A176" s="1" t="s">
        <v>6</v>
      </c>
      <c r="B176" s="2">
        <f t="shared" si="0"/>
        <v>45985</v>
      </c>
      <c r="C176" s="1" t="s">
        <v>38</v>
      </c>
      <c r="D176" s="1">
        <v>-65</v>
      </c>
      <c r="E176" s="1" t="s">
        <v>39</v>
      </c>
      <c r="F176" s="4" t="str">
        <f t="shared" si="17"/>
        <v>Card</v>
      </c>
      <c r="G176" s="1" t="s">
        <v>31</v>
      </c>
    </row>
    <row r="177" spans="1:7" ht="13">
      <c r="A177" s="1" t="s">
        <v>229</v>
      </c>
      <c r="B177" s="2">
        <f t="shared" si="0"/>
        <v>45986</v>
      </c>
      <c r="C177" s="1" t="s">
        <v>230</v>
      </c>
      <c r="D177" s="1">
        <v>-270</v>
      </c>
      <c r="E177" s="1" t="s">
        <v>88</v>
      </c>
      <c r="F177" s="4" t="s">
        <v>49</v>
      </c>
      <c r="G177" s="4" t="s">
        <v>31</v>
      </c>
    </row>
    <row r="178" spans="1:7" ht="13">
      <c r="A178" s="1" t="s">
        <v>229</v>
      </c>
      <c r="B178" s="2">
        <f t="shared" si="0"/>
        <v>45986</v>
      </c>
      <c r="C178" s="1" t="s">
        <v>231</v>
      </c>
      <c r="D178" s="1">
        <v>-250</v>
      </c>
      <c r="E178" s="1" t="s">
        <v>232</v>
      </c>
      <c r="F178" s="4" t="str">
        <f t="shared" ref="F178:F180" si="18">IF(OR(ISNUMBER(SEARCH("Tajeta", C178)), ISNUMBER(SEARCH("tarj", C178))), "Card", "")</f>
        <v>Card</v>
      </c>
      <c r="G178" s="1" t="s">
        <v>31</v>
      </c>
    </row>
    <row r="179" spans="1:7" ht="13">
      <c r="A179" s="1" t="s">
        <v>7</v>
      </c>
      <c r="B179" s="2">
        <f t="shared" si="0"/>
        <v>45987</v>
      </c>
      <c r="C179" s="1" t="s">
        <v>38</v>
      </c>
      <c r="D179" s="1">
        <v>-140</v>
      </c>
      <c r="E179" s="1" t="s">
        <v>39</v>
      </c>
      <c r="F179" s="4" t="str">
        <f t="shared" si="18"/>
        <v>Card</v>
      </c>
      <c r="G179" s="1" t="s">
        <v>31</v>
      </c>
    </row>
    <row r="180" spans="1:7" ht="13">
      <c r="A180" s="1" t="s">
        <v>7</v>
      </c>
      <c r="B180" s="2">
        <f t="shared" si="0"/>
        <v>45987</v>
      </c>
      <c r="C180" s="1" t="s">
        <v>219</v>
      </c>
      <c r="D180" s="1">
        <v>-70</v>
      </c>
      <c r="E180" s="1" t="s">
        <v>220</v>
      </c>
      <c r="F180" s="4" t="str">
        <f t="shared" si="18"/>
        <v>Card</v>
      </c>
      <c r="G180" s="1" t="s">
        <v>31</v>
      </c>
    </row>
    <row r="181" spans="1:7" ht="13">
      <c r="A181" s="1" t="s">
        <v>233</v>
      </c>
      <c r="B181" s="2">
        <f t="shared" si="0"/>
        <v>45989</v>
      </c>
      <c r="C181" s="1" t="s">
        <v>234</v>
      </c>
      <c r="D181" s="1">
        <v>-240</v>
      </c>
      <c r="E181" s="1" t="s">
        <v>235</v>
      </c>
      <c r="F181" s="4" t="s">
        <v>49</v>
      </c>
      <c r="G181" s="4" t="s">
        <v>31</v>
      </c>
    </row>
    <row r="182" spans="1:7" ht="13">
      <c r="A182" s="1" t="s">
        <v>233</v>
      </c>
      <c r="B182" s="2">
        <f t="shared" si="0"/>
        <v>45989</v>
      </c>
      <c r="C182" s="1" t="s">
        <v>219</v>
      </c>
      <c r="D182" s="1">
        <v>-70</v>
      </c>
      <c r="E182" s="1" t="s">
        <v>220</v>
      </c>
      <c r="F182" s="4" t="str">
        <f>IF(OR(ISNUMBER(SEARCH("Tajeta", C182)), ISNUMBER(SEARCH("tarj", C182))), "Card", "")</f>
        <v>Card</v>
      </c>
      <c r="G182" s="1" t="s">
        <v>31</v>
      </c>
    </row>
    <row r="183" spans="1:7" ht="13">
      <c r="A183" s="3">
        <v>45669</v>
      </c>
      <c r="B183" s="2">
        <f t="shared" si="0"/>
        <v>1378715</v>
      </c>
      <c r="C183" s="1" t="s">
        <v>236</v>
      </c>
      <c r="D183" s="5">
        <v>-1335</v>
      </c>
      <c r="E183" s="1" t="s">
        <v>237</v>
      </c>
      <c r="F183" s="1" t="s">
        <v>172</v>
      </c>
      <c r="G183" s="1" t="s">
        <v>36</v>
      </c>
    </row>
    <row r="184" spans="1:7" ht="13">
      <c r="A184" s="3">
        <v>45669</v>
      </c>
      <c r="B184" s="2">
        <f t="shared" si="0"/>
        <v>1378715</v>
      </c>
      <c r="C184" s="1" t="s">
        <v>238</v>
      </c>
      <c r="D184" s="1">
        <v>-242</v>
      </c>
      <c r="E184" s="1" t="s">
        <v>152</v>
      </c>
      <c r="F184" s="1" t="s">
        <v>152</v>
      </c>
      <c r="G184" s="1" t="s">
        <v>36</v>
      </c>
    </row>
    <row r="185" spans="1:7" ht="13">
      <c r="A185" s="3">
        <v>45669</v>
      </c>
      <c r="B185" s="2">
        <f t="shared" si="0"/>
        <v>1378715</v>
      </c>
      <c r="C185" s="1" t="s">
        <v>239</v>
      </c>
      <c r="D185" s="1">
        <v>-96.66</v>
      </c>
      <c r="E185" s="1" t="s">
        <v>153</v>
      </c>
      <c r="F185" s="4" t="str">
        <f>IF(OR(ISNUMBER(SEARCH("Tajeta", C185)), ISNUMBER(SEARCH("tarj", C185))), "Card", "")</f>
        <v>Card</v>
      </c>
      <c r="G185" s="1" t="s">
        <v>36</v>
      </c>
    </row>
    <row r="186" spans="1:7" ht="13">
      <c r="A186" s="3">
        <v>45669</v>
      </c>
      <c r="B186" s="2">
        <f t="shared" si="0"/>
        <v>1378715</v>
      </c>
      <c r="C186" s="1" t="s">
        <v>240</v>
      </c>
      <c r="D186" s="1">
        <v>-85</v>
      </c>
      <c r="E186" s="1" t="s">
        <v>235</v>
      </c>
      <c r="F186" s="4" t="s">
        <v>49</v>
      </c>
      <c r="G186" s="4" t="s">
        <v>31</v>
      </c>
    </row>
    <row r="187" spans="1:7" ht="13">
      <c r="A187" s="3">
        <v>45669</v>
      </c>
      <c r="B187" s="2">
        <f t="shared" si="0"/>
        <v>1378715</v>
      </c>
      <c r="C187" s="1" t="s">
        <v>38</v>
      </c>
      <c r="D187" s="1">
        <v>-35</v>
      </c>
      <c r="E187" s="1" t="s">
        <v>39</v>
      </c>
      <c r="F187" s="4" t="str">
        <f t="shared" ref="F187:F192" si="19">IF(OR(ISNUMBER(SEARCH("Tajeta", C187)), ISNUMBER(SEARCH("tarj", C187))), "Card", "")</f>
        <v>Card</v>
      </c>
      <c r="G187" s="1" t="s">
        <v>31</v>
      </c>
    </row>
    <row r="188" spans="1:7" ht="13">
      <c r="A188" s="3">
        <v>45700</v>
      </c>
      <c r="B188" s="2">
        <f t="shared" si="0"/>
        <v>1387937</v>
      </c>
      <c r="C188" s="1" t="s">
        <v>241</v>
      </c>
      <c r="D188" s="1">
        <v>-261.94</v>
      </c>
      <c r="E188" s="1" t="s">
        <v>242</v>
      </c>
      <c r="F188" s="4" t="str">
        <f t="shared" si="19"/>
        <v>Card</v>
      </c>
      <c r="G188" s="1" t="s">
        <v>31</v>
      </c>
    </row>
    <row r="189" spans="1:7" ht="13">
      <c r="A189" s="3">
        <v>45700</v>
      </c>
      <c r="B189" s="2">
        <f t="shared" si="0"/>
        <v>1387937</v>
      </c>
      <c r="C189" s="1" t="s">
        <v>243</v>
      </c>
      <c r="D189" s="1">
        <v>-160.72999999999999</v>
      </c>
      <c r="E189" s="1" t="s">
        <v>244</v>
      </c>
      <c r="F189" s="4" t="str">
        <f t="shared" si="19"/>
        <v>Card</v>
      </c>
      <c r="G189" s="1" t="s">
        <v>31</v>
      </c>
    </row>
    <row r="190" spans="1:7" ht="13">
      <c r="A190" s="3">
        <v>45700</v>
      </c>
      <c r="B190" s="2">
        <f t="shared" si="0"/>
        <v>1387937</v>
      </c>
      <c r="C190" s="1" t="s">
        <v>245</v>
      </c>
      <c r="D190" s="1">
        <v>-113.11</v>
      </c>
      <c r="E190" s="1" t="s">
        <v>246</v>
      </c>
      <c r="F190" s="4" t="str">
        <f t="shared" si="19"/>
        <v>Card</v>
      </c>
      <c r="G190" s="1" t="s">
        <v>31</v>
      </c>
    </row>
    <row r="191" spans="1:7" ht="13">
      <c r="A191" s="3">
        <v>45700</v>
      </c>
      <c r="B191" s="2">
        <f t="shared" si="0"/>
        <v>1387937</v>
      </c>
      <c r="C191" s="1" t="s">
        <v>38</v>
      </c>
      <c r="D191" s="1">
        <v>-112</v>
      </c>
      <c r="E191" s="1" t="s">
        <v>39</v>
      </c>
      <c r="F191" s="4" t="str">
        <f t="shared" si="19"/>
        <v>Card</v>
      </c>
      <c r="G191" s="1" t="s">
        <v>31</v>
      </c>
    </row>
    <row r="192" spans="1:7" ht="13">
      <c r="A192" s="3">
        <v>45700</v>
      </c>
      <c r="B192" s="2">
        <f t="shared" si="0"/>
        <v>1387937</v>
      </c>
      <c r="C192" s="1" t="s">
        <v>247</v>
      </c>
      <c r="D192" s="1">
        <v>-60</v>
      </c>
      <c r="E192" s="1" t="s">
        <v>248</v>
      </c>
      <c r="F192" s="4" t="str">
        <f t="shared" si="19"/>
        <v>Card</v>
      </c>
      <c r="G192" s="1" t="s">
        <v>31</v>
      </c>
    </row>
    <row r="193" spans="1:7" ht="13">
      <c r="A193" s="3">
        <v>45728</v>
      </c>
      <c r="B193" s="2">
        <f t="shared" si="0"/>
        <v>1399015</v>
      </c>
      <c r="C193" s="1" t="s">
        <v>249</v>
      </c>
      <c r="D193" s="1">
        <v>-380</v>
      </c>
      <c r="E193" s="1" t="s">
        <v>250</v>
      </c>
      <c r="F193" s="4" t="s">
        <v>49</v>
      </c>
      <c r="G193" s="4" t="s">
        <v>31</v>
      </c>
    </row>
    <row r="194" spans="1:7" ht="13">
      <c r="A194" s="3">
        <v>45759</v>
      </c>
      <c r="B194" s="2">
        <f t="shared" si="0"/>
        <v>1411282</v>
      </c>
      <c r="C194" s="1" t="s">
        <v>247</v>
      </c>
      <c r="D194" s="1">
        <v>-155</v>
      </c>
      <c r="E194" s="1" t="s">
        <v>251</v>
      </c>
      <c r="F194" s="4" t="str">
        <f t="shared" ref="F194:F207" si="20">IF(OR(ISNUMBER(SEARCH("Tajeta", C194)), ISNUMBER(SEARCH("tarj", C194))), "Card", "")</f>
        <v>Card</v>
      </c>
      <c r="G194" s="1" t="s">
        <v>31</v>
      </c>
    </row>
    <row r="195" spans="1:7" ht="13">
      <c r="A195" s="3">
        <v>45759</v>
      </c>
      <c r="B195" s="2">
        <f t="shared" si="0"/>
        <v>1411282</v>
      </c>
      <c r="C195" s="1" t="s">
        <v>38</v>
      </c>
      <c r="D195" s="1">
        <v>-140</v>
      </c>
      <c r="E195" s="1" t="s">
        <v>39</v>
      </c>
      <c r="F195" s="4" t="str">
        <f t="shared" si="20"/>
        <v>Card</v>
      </c>
      <c r="G195" s="1" t="s">
        <v>31</v>
      </c>
    </row>
    <row r="196" spans="1:7" ht="13">
      <c r="A196" s="3">
        <v>45759</v>
      </c>
      <c r="B196" s="2">
        <f t="shared" si="0"/>
        <v>1411282</v>
      </c>
      <c r="C196" s="1" t="s">
        <v>219</v>
      </c>
      <c r="D196" s="1">
        <v>-70</v>
      </c>
      <c r="E196" s="1" t="s">
        <v>220</v>
      </c>
      <c r="F196" s="4" t="str">
        <f t="shared" si="20"/>
        <v>Card</v>
      </c>
      <c r="G196" s="1" t="s">
        <v>31</v>
      </c>
    </row>
    <row r="197" spans="1:7" ht="13">
      <c r="A197" s="3">
        <v>45789</v>
      </c>
      <c r="B197" s="2">
        <f t="shared" si="0"/>
        <v>1423152</v>
      </c>
      <c r="C197" s="1" t="s">
        <v>219</v>
      </c>
      <c r="D197" s="1">
        <v>-70</v>
      </c>
      <c r="E197" s="1" t="s">
        <v>220</v>
      </c>
      <c r="F197" s="4" t="str">
        <f t="shared" si="20"/>
        <v>Card</v>
      </c>
      <c r="G197" s="1" t="s">
        <v>31</v>
      </c>
    </row>
    <row r="198" spans="1:7" ht="13">
      <c r="A198" s="3">
        <v>45850</v>
      </c>
      <c r="B198" s="2">
        <f t="shared" si="0"/>
        <v>1444246</v>
      </c>
      <c r="C198" s="1" t="s">
        <v>252</v>
      </c>
      <c r="D198" s="1">
        <v>-50</v>
      </c>
      <c r="E198" s="1" t="s">
        <v>253</v>
      </c>
      <c r="F198" s="4" t="str">
        <f t="shared" si="20"/>
        <v>Card</v>
      </c>
      <c r="G198" s="1" t="s">
        <v>31</v>
      </c>
    </row>
    <row r="199" spans="1:7" ht="13">
      <c r="A199" s="3">
        <v>45881</v>
      </c>
      <c r="B199" s="2">
        <f t="shared" si="0"/>
        <v>1456511</v>
      </c>
      <c r="C199" s="1" t="s">
        <v>219</v>
      </c>
      <c r="D199" s="1">
        <v>-70</v>
      </c>
      <c r="E199" s="1" t="s">
        <v>220</v>
      </c>
      <c r="F199" s="4" t="str">
        <f t="shared" si="20"/>
        <v>Card</v>
      </c>
      <c r="G199" s="1" t="s">
        <v>31</v>
      </c>
    </row>
    <row r="200" spans="1:7" ht="13">
      <c r="A200" s="3">
        <v>45881</v>
      </c>
      <c r="B200" s="2">
        <f t="shared" si="0"/>
        <v>1456511</v>
      </c>
      <c r="C200" s="1" t="s">
        <v>219</v>
      </c>
      <c r="D200" s="1">
        <v>-70</v>
      </c>
      <c r="E200" s="1" t="s">
        <v>220</v>
      </c>
      <c r="F200" s="4" t="str">
        <f t="shared" si="20"/>
        <v>Card</v>
      </c>
      <c r="G200" s="1" t="s">
        <v>31</v>
      </c>
    </row>
    <row r="201" spans="1:7" ht="13">
      <c r="A201" s="3">
        <v>45881</v>
      </c>
      <c r="B201" s="2">
        <f t="shared" si="0"/>
        <v>1456511</v>
      </c>
      <c r="C201" s="1" t="s">
        <v>219</v>
      </c>
      <c r="D201" s="1">
        <v>-70</v>
      </c>
      <c r="E201" s="1" t="s">
        <v>220</v>
      </c>
      <c r="F201" s="4" t="str">
        <f t="shared" si="20"/>
        <v>Card</v>
      </c>
      <c r="G201" s="1" t="s">
        <v>31</v>
      </c>
    </row>
    <row r="202" spans="1:7" ht="13">
      <c r="A202" s="3">
        <v>45881</v>
      </c>
      <c r="B202" s="2">
        <f t="shared" si="0"/>
        <v>1456511</v>
      </c>
      <c r="C202" s="1" t="s">
        <v>59</v>
      </c>
      <c r="D202" s="1">
        <v>-12.47</v>
      </c>
      <c r="E202" s="1" t="s">
        <v>254</v>
      </c>
      <c r="F202" s="4" t="str">
        <f t="shared" si="20"/>
        <v>Card</v>
      </c>
      <c r="G202" s="1" t="s">
        <v>36</v>
      </c>
    </row>
    <row r="203" spans="1:7" ht="13">
      <c r="A203" s="3">
        <v>45912</v>
      </c>
      <c r="B203" s="2">
        <f t="shared" si="0"/>
        <v>1465733</v>
      </c>
      <c r="C203" s="1" t="s">
        <v>38</v>
      </c>
      <c r="D203" s="1">
        <v>-140</v>
      </c>
      <c r="E203" s="1" t="s">
        <v>39</v>
      </c>
      <c r="F203" s="4" t="str">
        <f t="shared" si="20"/>
        <v>Card</v>
      </c>
      <c r="G203" s="1" t="s">
        <v>31</v>
      </c>
    </row>
    <row r="204" spans="1:7" ht="13">
      <c r="A204" s="3">
        <v>45912</v>
      </c>
      <c r="B204" s="2">
        <f t="shared" si="0"/>
        <v>1465733</v>
      </c>
      <c r="C204" s="1" t="s">
        <v>255</v>
      </c>
      <c r="D204" s="1">
        <v>-94.42</v>
      </c>
      <c r="E204" s="1" t="s">
        <v>256</v>
      </c>
      <c r="F204" s="4" t="str">
        <f t="shared" si="20"/>
        <v>Card</v>
      </c>
      <c r="G204" s="1" t="s">
        <v>31</v>
      </c>
    </row>
    <row r="205" spans="1:7" ht="13">
      <c r="A205" s="3">
        <v>45912</v>
      </c>
      <c r="B205" s="2">
        <f t="shared" si="0"/>
        <v>1465733</v>
      </c>
      <c r="C205" s="1" t="s">
        <v>210</v>
      </c>
      <c r="D205" s="1">
        <v>-70</v>
      </c>
      <c r="E205" s="1" t="s">
        <v>257</v>
      </c>
      <c r="F205" s="4" t="str">
        <f t="shared" si="20"/>
        <v>Card</v>
      </c>
      <c r="G205" s="1" t="s">
        <v>31</v>
      </c>
    </row>
    <row r="206" spans="1:7" ht="13">
      <c r="A206" s="3">
        <v>45912</v>
      </c>
      <c r="B206" s="2">
        <f t="shared" si="0"/>
        <v>1465733</v>
      </c>
      <c r="C206" s="1" t="s">
        <v>258</v>
      </c>
      <c r="D206" s="1">
        <v>-50</v>
      </c>
      <c r="E206" s="1" t="s">
        <v>259</v>
      </c>
      <c r="F206" s="4" t="str">
        <f t="shared" si="20"/>
        <v>Card</v>
      </c>
      <c r="G206" s="1" t="s">
        <v>31</v>
      </c>
    </row>
    <row r="207" spans="1:7" ht="13">
      <c r="A207" s="3">
        <v>45912</v>
      </c>
      <c r="B207" s="2">
        <f t="shared" si="0"/>
        <v>1465733</v>
      </c>
      <c r="C207" s="1" t="s">
        <v>38</v>
      </c>
      <c r="D207" s="1">
        <v>-35</v>
      </c>
      <c r="E207" s="1" t="s">
        <v>39</v>
      </c>
      <c r="F207" s="4" t="str">
        <f t="shared" si="20"/>
        <v>Card</v>
      </c>
      <c r="G207" s="1" t="s">
        <v>31</v>
      </c>
    </row>
    <row r="208" spans="1:7" ht="13">
      <c r="A208" s="7">
        <v>45942</v>
      </c>
      <c r="B208" s="2">
        <f t="shared" si="0"/>
        <v>1477603</v>
      </c>
      <c r="C208" s="1" t="s">
        <v>260</v>
      </c>
      <c r="D208" s="1">
        <v>-265</v>
      </c>
      <c r="E208" s="1" t="s">
        <v>261</v>
      </c>
      <c r="F208" s="4" t="s">
        <v>49</v>
      </c>
      <c r="G208" s="4" t="s">
        <v>31</v>
      </c>
    </row>
    <row r="209" spans="1:7" ht="13">
      <c r="A209" s="7">
        <v>45942</v>
      </c>
      <c r="B209" s="2">
        <f t="shared" si="0"/>
        <v>1477603</v>
      </c>
      <c r="C209" s="1" t="s">
        <v>231</v>
      </c>
      <c r="D209" s="1">
        <v>-200</v>
      </c>
      <c r="E209" s="1" t="s">
        <v>232</v>
      </c>
      <c r="F209" s="4" t="str">
        <f t="shared" ref="F209:F215" si="21">IF(OR(ISNUMBER(SEARCH("Tajeta", C209)), ISNUMBER(SEARCH("tarj", C209))), "Card", "")</f>
        <v>Card</v>
      </c>
      <c r="G209" s="1" t="s">
        <v>31</v>
      </c>
    </row>
    <row r="210" spans="1:7" ht="13">
      <c r="A210" s="7">
        <v>45942</v>
      </c>
      <c r="B210" s="2">
        <f t="shared" si="0"/>
        <v>1477603</v>
      </c>
      <c r="C210" s="1" t="s">
        <v>71</v>
      </c>
      <c r="D210" s="1">
        <v>-70</v>
      </c>
      <c r="E210" s="1">
        <v>365</v>
      </c>
      <c r="F210" s="4" t="str">
        <f t="shared" si="21"/>
        <v>Card</v>
      </c>
      <c r="G210" s="1" t="s">
        <v>31</v>
      </c>
    </row>
    <row r="211" spans="1:7" ht="13">
      <c r="A211" s="7">
        <v>45973</v>
      </c>
      <c r="B211" s="2">
        <f t="shared" si="0"/>
        <v>1489870</v>
      </c>
      <c r="C211" s="1" t="s">
        <v>262</v>
      </c>
      <c r="D211" s="1">
        <v>-190.99</v>
      </c>
      <c r="E211" s="1" t="s">
        <v>263</v>
      </c>
      <c r="F211" s="4" t="str">
        <f t="shared" si="21"/>
        <v>Card</v>
      </c>
      <c r="G211" s="1" t="s">
        <v>31</v>
      </c>
    </row>
    <row r="212" spans="1:7" ht="13">
      <c r="A212" s="7">
        <v>45973</v>
      </c>
      <c r="B212" s="2">
        <f t="shared" si="0"/>
        <v>1489870</v>
      </c>
      <c r="C212" s="1" t="s">
        <v>66</v>
      </c>
      <c r="D212" s="1">
        <v>-50</v>
      </c>
      <c r="E212" s="1">
        <v>365</v>
      </c>
      <c r="F212" s="4" t="str">
        <f t="shared" si="21"/>
        <v>Card</v>
      </c>
      <c r="G212" s="1" t="s">
        <v>31</v>
      </c>
    </row>
    <row r="213" spans="1:7" ht="13">
      <c r="A213" s="7">
        <v>45973</v>
      </c>
      <c r="B213" s="2">
        <f t="shared" si="0"/>
        <v>1489870</v>
      </c>
      <c r="C213" s="1" t="s">
        <v>71</v>
      </c>
      <c r="D213" s="1">
        <v>-50</v>
      </c>
      <c r="E213" s="1">
        <v>365</v>
      </c>
      <c r="F213" s="4" t="str">
        <f t="shared" si="21"/>
        <v>Card</v>
      </c>
      <c r="G213" s="1" t="s">
        <v>31</v>
      </c>
    </row>
    <row r="214" spans="1:7" ht="13">
      <c r="A214" s="7">
        <v>46003</v>
      </c>
      <c r="B214" s="2">
        <f t="shared" si="0"/>
        <v>1498696</v>
      </c>
      <c r="C214" s="1" t="s">
        <v>264</v>
      </c>
      <c r="D214" s="1">
        <v>-130</v>
      </c>
      <c r="E214" s="1" t="s">
        <v>157</v>
      </c>
      <c r="F214" s="4" t="str">
        <f t="shared" si="21"/>
        <v>Card</v>
      </c>
      <c r="G214" s="1" t="s">
        <v>31</v>
      </c>
    </row>
    <row r="215" spans="1:7" ht="13">
      <c r="A215" s="1" t="s">
        <v>265</v>
      </c>
      <c r="B215" s="2">
        <f t="shared" si="0"/>
        <v>46005</v>
      </c>
      <c r="C215" s="1" t="s">
        <v>38</v>
      </c>
      <c r="D215" s="1">
        <v>-35</v>
      </c>
      <c r="E215" s="1" t="s">
        <v>39</v>
      </c>
      <c r="F215" s="4" t="str">
        <f t="shared" si="21"/>
        <v>Card</v>
      </c>
      <c r="G215" s="1" t="s">
        <v>31</v>
      </c>
    </row>
    <row r="216" spans="1:7" ht="13">
      <c r="A216" s="1" t="s">
        <v>266</v>
      </c>
      <c r="B216" s="2">
        <f t="shared" si="0"/>
        <v>46006</v>
      </c>
      <c r="C216" s="1" t="s">
        <v>267</v>
      </c>
      <c r="D216" s="5">
        <v>-1230</v>
      </c>
      <c r="E216" s="1" t="s">
        <v>200</v>
      </c>
      <c r="F216" s="4" t="s">
        <v>49</v>
      </c>
      <c r="G216" s="4" t="s">
        <v>31</v>
      </c>
    </row>
    <row r="217" spans="1:7" ht="13">
      <c r="A217" s="1" t="s">
        <v>266</v>
      </c>
      <c r="B217" s="2">
        <f t="shared" si="0"/>
        <v>46006</v>
      </c>
      <c r="C217" s="1" t="s">
        <v>268</v>
      </c>
      <c r="D217" s="1">
        <v>-910</v>
      </c>
      <c r="E217" s="1" t="s">
        <v>269</v>
      </c>
      <c r="F217" s="4" t="s">
        <v>49</v>
      </c>
      <c r="G217" s="4" t="s">
        <v>31</v>
      </c>
    </row>
    <row r="218" spans="1:7" ht="13">
      <c r="A218" s="1" t="s">
        <v>266</v>
      </c>
      <c r="B218" s="2">
        <f t="shared" si="0"/>
        <v>46006</v>
      </c>
      <c r="C218" s="1" t="s">
        <v>270</v>
      </c>
      <c r="D218" s="1">
        <v>-82.5</v>
      </c>
      <c r="E218" s="1" t="s">
        <v>135</v>
      </c>
      <c r="F218" s="4" t="s">
        <v>49</v>
      </c>
      <c r="G218" s="4" t="s">
        <v>31</v>
      </c>
    </row>
    <row r="219" spans="1:7" ht="13">
      <c r="A219" s="1" t="s">
        <v>271</v>
      </c>
      <c r="B219" s="2">
        <f t="shared" si="0"/>
        <v>46007</v>
      </c>
      <c r="C219" s="1" t="s">
        <v>219</v>
      </c>
      <c r="D219" s="1">
        <v>-70</v>
      </c>
      <c r="E219" s="1" t="s">
        <v>220</v>
      </c>
      <c r="F219" s="4" t="str">
        <f t="shared" ref="F219:F235" si="22">IF(OR(ISNUMBER(SEARCH("Tajeta", C219)), ISNUMBER(SEARCH("tarj", C219))), "Card", "")</f>
        <v>Card</v>
      </c>
      <c r="G219" s="1" t="s">
        <v>31</v>
      </c>
    </row>
    <row r="220" spans="1:7" ht="13">
      <c r="A220" s="1" t="s">
        <v>271</v>
      </c>
      <c r="B220" s="2">
        <f t="shared" si="0"/>
        <v>46007</v>
      </c>
      <c r="C220" s="1" t="s">
        <v>252</v>
      </c>
      <c r="D220" s="1">
        <v>-60</v>
      </c>
      <c r="E220" s="1" t="s">
        <v>253</v>
      </c>
      <c r="F220" s="4" t="str">
        <f t="shared" si="22"/>
        <v>Card</v>
      </c>
      <c r="G220" s="1" t="s">
        <v>31</v>
      </c>
    </row>
    <row r="221" spans="1:7" ht="13">
      <c r="A221" s="1" t="s">
        <v>272</v>
      </c>
      <c r="B221" s="2">
        <f t="shared" si="0"/>
        <v>46008</v>
      </c>
      <c r="C221" s="1" t="s">
        <v>231</v>
      </c>
      <c r="D221" s="1">
        <v>-200</v>
      </c>
      <c r="E221" s="1" t="s">
        <v>273</v>
      </c>
      <c r="F221" s="4" t="str">
        <f t="shared" si="22"/>
        <v>Card</v>
      </c>
      <c r="G221" s="1" t="s">
        <v>31</v>
      </c>
    </row>
    <row r="222" spans="1:7" ht="13">
      <c r="A222" s="1" t="s">
        <v>272</v>
      </c>
      <c r="B222" s="2">
        <f t="shared" si="0"/>
        <v>46008</v>
      </c>
      <c r="C222" s="1" t="s">
        <v>274</v>
      </c>
      <c r="D222" s="1">
        <v>-100</v>
      </c>
      <c r="E222" s="1" t="s">
        <v>116</v>
      </c>
      <c r="F222" s="4" t="str">
        <f t="shared" si="22"/>
        <v>Card</v>
      </c>
      <c r="G222" s="1" t="s">
        <v>36</v>
      </c>
    </row>
    <row r="223" spans="1:7" ht="13">
      <c r="A223" s="1" t="s">
        <v>275</v>
      </c>
      <c r="B223" s="2">
        <f t="shared" si="0"/>
        <v>46009</v>
      </c>
      <c r="C223" s="1" t="s">
        <v>38</v>
      </c>
      <c r="D223" s="1">
        <v>-35</v>
      </c>
      <c r="E223" s="1" t="s">
        <v>39</v>
      </c>
      <c r="F223" s="4" t="str">
        <f t="shared" si="22"/>
        <v>Card</v>
      </c>
      <c r="G223" s="1" t="s">
        <v>31</v>
      </c>
    </row>
    <row r="224" spans="1:7" ht="13">
      <c r="A224" s="1" t="s">
        <v>276</v>
      </c>
      <c r="B224" s="2">
        <f t="shared" si="0"/>
        <v>46011</v>
      </c>
      <c r="C224" s="1" t="s">
        <v>277</v>
      </c>
      <c r="D224" s="1">
        <v>-131.01</v>
      </c>
      <c r="E224" s="1" t="s">
        <v>278</v>
      </c>
      <c r="F224" s="4" t="str">
        <f t="shared" si="22"/>
        <v>Card</v>
      </c>
      <c r="G224" s="1" t="s">
        <v>31</v>
      </c>
    </row>
    <row r="225" spans="1:7" ht="13">
      <c r="A225" s="1" t="s">
        <v>279</v>
      </c>
      <c r="B225" s="2">
        <f t="shared" si="0"/>
        <v>46012</v>
      </c>
      <c r="C225" s="1" t="s">
        <v>280</v>
      </c>
      <c r="D225" s="1">
        <v>-113.15</v>
      </c>
      <c r="E225" s="1" t="s">
        <v>246</v>
      </c>
      <c r="F225" s="4" t="str">
        <f t="shared" si="22"/>
        <v>Card</v>
      </c>
      <c r="G225" s="1" t="s">
        <v>31</v>
      </c>
    </row>
    <row r="226" spans="1:7" ht="13">
      <c r="A226" s="1" t="s">
        <v>279</v>
      </c>
      <c r="B226" s="2">
        <f t="shared" si="0"/>
        <v>46012</v>
      </c>
      <c r="C226" s="1" t="s">
        <v>210</v>
      </c>
      <c r="D226" s="1">
        <v>-70</v>
      </c>
      <c r="E226" s="1" t="s">
        <v>257</v>
      </c>
      <c r="F226" s="4" t="str">
        <f t="shared" si="22"/>
        <v>Card</v>
      </c>
      <c r="G226" s="1" t="s">
        <v>31</v>
      </c>
    </row>
    <row r="227" spans="1:7" ht="13">
      <c r="A227" s="1" t="s">
        <v>18</v>
      </c>
      <c r="B227" s="2">
        <f t="shared" si="0"/>
        <v>46014</v>
      </c>
      <c r="C227" s="1" t="s">
        <v>280</v>
      </c>
      <c r="D227" s="1">
        <v>-113.42</v>
      </c>
      <c r="E227" s="1" t="s">
        <v>246</v>
      </c>
      <c r="F227" s="4" t="str">
        <f t="shared" si="22"/>
        <v>Card</v>
      </c>
      <c r="G227" s="1" t="s">
        <v>31</v>
      </c>
    </row>
    <row r="228" spans="1:7" ht="13">
      <c r="A228" s="1" t="s">
        <v>18</v>
      </c>
      <c r="B228" s="2">
        <f t="shared" si="0"/>
        <v>46014</v>
      </c>
      <c r="C228" s="1" t="s">
        <v>280</v>
      </c>
      <c r="D228" s="1">
        <v>-113.42</v>
      </c>
      <c r="E228" s="1" t="s">
        <v>246</v>
      </c>
      <c r="F228" s="4" t="str">
        <f t="shared" si="22"/>
        <v>Card</v>
      </c>
      <c r="G228" s="1" t="s">
        <v>31</v>
      </c>
    </row>
    <row r="229" spans="1:7" ht="13">
      <c r="A229" s="1" t="s">
        <v>281</v>
      </c>
      <c r="B229" s="2">
        <f t="shared" si="0"/>
        <v>46015</v>
      </c>
      <c r="C229" s="1" t="s">
        <v>282</v>
      </c>
      <c r="D229" s="1">
        <v>-60</v>
      </c>
      <c r="E229" s="1" t="s">
        <v>283</v>
      </c>
      <c r="F229" s="4" t="str">
        <f t="shared" si="22"/>
        <v>Card</v>
      </c>
      <c r="G229" s="1" t="s">
        <v>31</v>
      </c>
    </row>
    <row r="230" spans="1:7" ht="13">
      <c r="A230" s="1" t="s">
        <v>284</v>
      </c>
      <c r="B230" s="2">
        <f t="shared" si="0"/>
        <v>46016</v>
      </c>
      <c r="C230" s="1" t="s">
        <v>38</v>
      </c>
      <c r="D230" s="1">
        <v>-168</v>
      </c>
      <c r="E230" s="1" t="s">
        <v>39</v>
      </c>
      <c r="F230" s="4" t="str">
        <f t="shared" si="22"/>
        <v>Card</v>
      </c>
      <c r="G230" s="1" t="s">
        <v>31</v>
      </c>
    </row>
    <row r="231" spans="1:7" ht="13">
      <c r="A231" s="1" t="s">
        <v>285</v>
      </c>
      <c r="B231" s="2">
        <f t="shared" si="0"/>
        <v>46018</v>
      </c>
      <c r="C231" s="1" t="s">
        <v>286</v>
      </c>
      <c r="D231" s="1">
        <v>-200</v>
      </c>
      <c r="E231" s="1" t="s">
        <v>75</v>
      </c>
      <c r="F231" s="4" t="str">
        <f t="shared" si="22"/>
        <v>Card</v>
      </c>
      <c r="G231" s="1" t="s">
        <v>36</v>
      </c>
    </row>
    <row r="232" spans="1:7" ht="13">
      <c r="A232" s="1" t="s">
        <v>287</v>
      </c>
      <c r="B232" s="2">
        <f t="shared" si="0"/>
        <v>46022</v>
      </c>
      <c r="C232" s="1" t="s">
        <v>219</v>
      </c>
      <c r="D232" s="1">
        <v>-70</v>
      </c>
      <c r="E232" s="1" t="s">
        <v>220</v>
      </c>
      <c r="F232" s="4" t="str">
        <f t="shared" si="22"/>
        <v>Card</v>
      </c>
      <c r="G232" s="1" t="s">
        <v>31</v>
      </c>
    </row>
    <row r="233" spans="1:7" ht="13">
      <c r="A233" s="3">
        <v>46023</v>
      </c>
      <c r="B233" s="2">
        <f t="shared" si="0"/>
        <v>1506612</v>
      </c>
      <c r="C233" s="1" t="s">
        <v>239</v>
      </c>
      <c r="D233" s="1">
        <v>-97.2</v>
      </c>
      <c r="E233" s="1" t="s">
        <v>153</v>
      </c>
      <c r="F233" s="4" t="str">
        <f t="shared" si="22"/>
        <v>Card</v>
      </c>
      <c r="G233" s="1" t="s">
        <v>36</v>
      </c>
    </row>
    <row r="234" spans="1:7" ht="13">
      <c r="A234" s="3">
        <v>46023</v>
      </c>
      <c r="B234" s="2">
        <f t="shared" si="0"/>
        <v>1506612</v>
      </c>
      <c r="C234" s="1" t="s">
        <v>288</v>
      </c>
      <c r="D234" s="1">
        <v>-51.01</v>
      </c>
      <c r="E234" s="1" t="s">
        <v>289</v>
      </c>
      <c r="F234" s="4" t="str">
        <f t="shared" si="22"/>
        <v>Card</v>
      </c>
      <c r="G234" s="1" t="s">
        <v>36</v>
      </c>
    </row>
    <row r="235" spans="1:7" ht="13">
      <c r="A235" s="3">
        <v>46023</v>
      </c>
      <c r="B235" s="2">
        <f t="shared" si="0"/>
        <v>1506612</v>
      </c>
      <c r="C235" s="1" t="s">
        <v>290</v>
      </c>
      <c r="D235" s="1">
        <v>-7.2</v>
      </c>
      <c r="E235" s="1" t="s">
        <v>116</v>
      </c>
      <c r="F235" s="4" t="str">
        <f t="shared" si="22"/>
        <v>Card</v>
      </c>
      <c r="G235" s="1" t="s">
        <v>36</v>
      </c>
    </row>
    <row r="236" spans="1:7" ht="13">
      <c r="A236" s="3">
        <v>46143</v>
      </c>
      <c r="B236" s="2">
        <f t="shared" si="0"/>
        <v>1551048</v>
      </c>
      <c r="C236" s="1" t="s">
        <v>291</v>
      </c>
      <c r="D236" s="5">
        <v>-2035</v>
      </c>
      <c r="E236" s="1" t="s">
        <v>292</v>
      </c>
      <c r="F236" s="1" t="s">
        <v>172</v>
      </c>
      <c r="G236" s="1" t="s">
        <v>36</v>
      </c>
    </row>
    <row r="237" spans="1:7" ht="13">
      <c r="A237" s="3">
        <v>46143</v>
      </c>
      <c r="B237" s="2">
        <f t="shared" si="0"/>
        <v>1551048</v>
      </c>
      <c r="C237" s="1" t="s">
        <v>293</v>
      </c>
      <c r="D237" s="5">
        <v>-2000</v>
      </c>
      <c r="E237" s="1" t="s">
        <v>294</v>
      </c>
      <c r="F237" s="4" t="s">
        <v>35</v>
      </c>
      <c r="G237" s="1" t="s">
        <v>295</v>
      </c>
    </row>
    <row r="238" spans="1:7" ht="13">
      <c r="A238" s="3">
        <v>46143</v>
      </c>
      <c r="B238" s="2">
        <f t="shared" si="0"/>
        <v>1551048</v>
      </c>
      <c r="C238" s="1" t="s">
        <v>38</v>
      </c>
      <c r="D238" s="1">
        <v>-140</v>
      </c>
      <c r="E238" s="1" t="s">
        <v>39</v>
      </c>
      <c r="F238" s="4" t="str">
        <f t="shared" ref="F238:F242" si="23">IF(OR(ISNUMBER(SEARCH("Tajeta", C238)), ISNUMBER(SEARCH("tarj", C238))), "Card", "")</f>
        <v>Card</v>
      </c>
      <c r="G238" s="1" t="s">
        <v>31</v>
      </c>
    </row>
    <row r="239" spans="1:7" ht="13">
      <c r="A239" s="3">
        <v>46143</v>
      </c>
      <c r="B239" s="2">
        <f t="shared" si="0"/>
        <v>1551048</v>
      </c>
      <c r="C239" s="1" t="s">
        <v>38</v>
      </c>
      <c r="D239" s="1">
        <v>-105</v>
      </c>
      <c r="E239" s="1" t="s">
        <v>39</v>
      </c>
      <c r="F239" s="4" t="str">
        <f t="shared" si="23"/>
        <v>Card</v>
      </c>
      <c r="G239" s="1" t="s">
        <v>31</v>
      </c>
    </row>
    <row r="240" spans="1:7" ht="13">
      <c r="A240" s="3">
        <v>46174</v>
      </c>
      <c r="B240" s="2">
        <f t="shared" si="0"/>
        <v>1563316</v>
      </c>
      <c r="C240" s="1" t="s">
        <v>38</v>
      </c>
      <c r="D240" s="1">
        <v>-65</v>
      </c>
      <c r="E240" s="1" t="s">
        <v>39</v>
      </c>
      <c r="F240" s="4" t="str">
        <f t="shared" si="23"/>
        <v>Card</v>
      </c>
      <c r="G240" s="1" t="s">
        <v>31</v>
      </c>
    </row>
    <row r="241" spans="1:7" ht="13">
      <c r="A241" s="3">
        <v>46174</v>
      </c>
      <c r="B241" s="2">
        <f t="shared" si="0"/>
        <v>1563316</v>
      </c>
      <c r="C241" s="1" t="s">
        <v>296</v>
      </c>
      <c r="D241" s="1">
        <v>-60</v>
      </c>
      <c r="E241" s="1" t="s">
        <v>297</v>
      </c>
      <c r="F241" s="4" t="str">
        <f t="shared" si="23"/>
        <v>Card</v>
      </c>
      <c r="G241" s="1" t="s">
        <v>31</v>
      </c>
    </row>
    <row r="242" spans="1:7" ht="13">
      <c r="A242" s="3">
        <v>46174</v>
      </c>
      <c r="B242" s="2">
        <f t="shared" si="0"/>
        <v>1563316</v>
      </c>
      <c r="C242" s="1" t="s">
        <v>59</v>
      </c>
      <c r="D242" s="1">
        <v>-12.44</v>
      </c>
      <c r="E242" s="1" t="s">
        <v>83</v>
      </c>
      <c r="F242" s="4" t="str">
        <f t="shared" si="23"/>
        <v>Card</v>
      </c>
      <c r="G242" s="1" t="s">
        <v>36</v>
      </c>
    </row>
    <row r="243" spans="1:7" ht="13">
      <c r="A243" s="3">
        <v>46204</v>
      </c>
      <c r="B243" s="2">
        <f t="shared" si="0"/>
        <v>1572141</v>
      </c>
      <c r="C243" s="1" t="s">
        <v>298</v>
      </c>
      <c r="D243" s="1">
        <v>-597</v>
      </c>
      <c r="E243" s="1" t="s">
        <v>226</v>
      </c>
      <c r="F243" s="4" t="s">
        <v>49</v>
      </c>
      <c r="G243" s="4" t="s">
        <v>31</v>
      </c>
    </row>
    <row r="244" spans="1:7" ht="13">
      <c r="A244" s="3">
        <v>46204</v>
      </c>
      <c r="B244" s="2">
        <f t="shared" si="0"/>
        <v>1572141</v>
      </c>
      <c r="C244" s="1" t="s">
        <v>299</v>
      </c>
      <c r="D244" s="1">
        <v>-490</v>
      </c>
      <c r="E244" s="1" t="s">
        <v>300</v>
      </c>
      <c r="F244" s="4" t="s">
        <v>49</v>
      </c>
      <c r="G244" s="4" t="s">
        <v>31</v>
      </c>
    </row>
    <row r="245" spans="1:7" ht="13">
      <c r="A245" s="3">
        <v>46204</v>
      </c>
      <c r="B245" s="2">
        <f t="shared" si="0"/>
        <v>1572141</v>
      </c>
      <c r="C245" s="1" t="s">
        <v>301</v>
      </c>
      <c r="D245" s="1">
        <v>-470</v>
      </c>
      <c r="E245" s="1" t="s">
        <v>302</v>
      </c>
      <c r="F245" s="4" t="s">
        <v>49</v>
      </c>
      <c r="G245" s="4" t="s">
        <v>31</v>
      </c>
    </row>
    <row r="246" spans="1:7" ht="13">
      <c r="A246" s="3">
        <v>46204</v>
      </c>
      <c r="B246" s="2">
        <f t="shared" si="0"/>
        <v>1572141</v>
      </c>
      <c r="C246" s="1" t="s">
        <v>303</v>
      </c>
      <c r="D246" s="1">
        <v>-210</v>
      </c>
      <c r="E246" s="1" t="s">
        <v>304</v>
      </c>
      <c r="F246" s="4" t="s">
        <v>49</v>
      </c>
      <c r="G246" s="4" t="s">
        <v>31</v>
      </c>
    </row>
    <row r="247" spans="1:7" ht="13">
      <c r="A247" s="3">
        <v>46204</v>
      </c>
      <c r="B247" s="2">
        <f t="shared" si="0"/>
        <v>1572141</v>
      </c>
      <c r="C247" s="1" t="s">
        <v>38</v>
      </c>
      <c r="D247" s="1">
        <v>-30</v>
      </c>
      <c r="E247" s="1" t="s">
        <v>39</v>
      </c>
      <c r="F247" s="4" t="str">
        <f t="shared" ref="F247:F254" si="24">IF(OR(ISNUMBER(SEARCH("Tajeta", C247)), ISNUMBER(SEARCH("tarj", C247))), "Card", "")</f>
        <v>Card</v>
      </c>
      <c r="G247" s="1" t="s">
        <v>31</v>
      </c>
    </row>
    <row r="248" spans="1:7" ht="13">
      <c r="A248" s="3">
        <v>46235</v>
      </c>
      <c r="B248" s="2">
        <f t="shared" si="0"/>
        <v>1584408</v>
      </c>
      <c r="C248" s="1" t="s">
        <v>305</v>
      </c>
      <c r="D248" s="1">
        <v>-59.01</v>
      </c>
      <c r="E248" s="1" t="s">
        <v>306</v>
      </c>
      <c r="F248" s="4" t="str">
        <f t="shared" si="24"/>
        <v>Card</v>
      </c>
      <c r="G248" s="1" t="s">
        <v>31</v>
      </c>
    </row>
    <row r="249" spans="1:7" ht="13">
      <c r="A249" s="3">
        <v>46266</v>
      </c>
      <c r="B249" s="2">
        <f t="shared" si="0"/>
        <v>1596673</v>
      </c>
      <c r="C249" s="1" t="s">
        <v>307</v>
      </c>
      <c r="D249" s="1">
        <v>-151.41999999999999</v>
      </c>
      <c r="E249" s="1" t="s">
        <v>135</v>
      </c>
      <c r="F249" s="4" t="str">
        <f t="shared" si="24"/>
        <v>Card</v>
      </c>
      <c r="G249" s="1" t="s">
        <v>31</v>
      </c>
    </row>
    <row r="250" spans="1:7" ht="13">
      <c r="A250" s="3">
        <v>46266</v>
      </c>
      <c r="B250" s="2">
        <f t="shared" si="0"/>
        <v>1596673</v>
      </c>
      <c r="C250" s="1" t="s">
        <v>307</v>
      </c>
      <c r="D250" s="1">
        <v>-151.41999999999999</v>
      </c>
      <c r="E250" s="1" t="s">
        <v>135</v>
      </c>
      <c r="F250" s="4" t="str">
        <f t="shared" si="24"/>
        <v>Card</v>
      </c>
      <c r="G250" s="1" t="s">
        <v>31</v>
      </c>
    </row>
    <row r="251" spans="1:7" ht="13">
      <c r="A251" s="3">
        <v>46266</v>
      </c>
      <c r="B251" s="2">
        <f t="shared" si="0"/>
        <v>1596673</v>
      </c>
      <c r="C251" s="1" t="s">
        <v>71</v>
      </c>
      <c r="D251" s="1">
        <v>-70</v>
      </c>
      <c r="E251" s="1">
        <v>365</v>
      </c>
      <c r="F251" s="4" t="str">
        <f t="shared" si="24"/>
        <v>Card</v>
      </c>
      <c r="G251" s="1" t="s">
        <v>31</v>
      </c>
    </row>
    <row r="252" spans="1:7" ht="13">
      <c r="A252" s="3">
        <v>46296</v>
      </c>
      <c r="B252" s="2">
        <f t="shared" si="0"/>
        <v>1608543</v>
      </c>
      <c r="C252" s="1" t="s">
        <v>38</v>
      </c>
      <c r="D252" s="1">
        <v>-126</v>
      </c>
      <c r="E252" s="1" t="s">
        <v>39</v>
      </c>
      <c r="F252" s="4" t="str">
        <f t="shared" si="24"/>
        <v>Card</v>
      </c>
      <c r="G252" s="1" t="s">
        <v>31</v>
      </c>
    </row>
    <row r="253" spans="1:7" ht="13">
      <c r="A253" s="3">
        <v>46327</v>
      </c>
      <c r="B253" s="2">
        <f t="shared" si="0"/>
        <v>1617765</v>
      </c>
      <c r="C253" s="1" t="s">
        <v>38</v>
      </c>
      <c r="D253" s="1">
        <v>-35</v>
      </c>
      <c r="E253" s="1" t="s">
        <v>39</v>
      </c>
      <c r="F253" s="4" t="str">
        <f t="shared" si="24"/>
        <v>Card</v>
      </c>
      <c r="G253" s="1" t="s">
        <v>31</v>
      </c>
    </row>
    <row r="254" spans="1:7" ht="13">
      <c r="A254" s="3">
        <v>46357</v>
      </c>
      <c r="B254" s="2">
        <f t="shared" si="0"/>
        <v>1629637</v>
      </c>
      <c r="C254" s="1" t="s">
        <v>308</v>
      </c>
      <c r="D254" s="1">
        <v>-850</v>
      </c>
      <c r="F254" s="4" t="str">
        <f t="shared" si="24"/>
        <v>Card</v>
      </c>
      <c r="G254" s="1" t="s">
        <v>31</v>
      </c>
    </row>
    <row r="255" spans="1:7" ht="13">
      <c r="A255" s="3">
        <v>46357</v>
      </c>
      <c r="B255" s="2">
        <f t="shared" si="0"/>
        <v>1629637</v>
      </c>
      <c r="C255" s="1" t="s">
        <v>309</v>
      </c>
      <c r="D255" s="1">
        <v>-491.96</v>
      </c>
      <c r="F255" s="4" t="s">
        <v>49</v>
      </c>
      <c r="G255" s="1" t="s">
        <v>31</v>
      </c>
    </row>
    <row r="256" spans="1:7" ht="13">
      <c r="A256" s="3">
        <v>46357</v>
      </c>
      <c r="B256" s="2">
        <f t="shared" si="0"/>
        <v>1629637</v>
      </c>
      <c r="C256" s="1" t="s">
        <v>38</v>
      </c>
      <c r="D256" s="1">
        <v>-126</v>
      </c>
      <c r="E256" s="1" t="s">
        <v>39</v>
      </c>
      <c r="F256" s="4" t="str">
        <f t="shared" ref="F256:F260" si="25">IF(OR(ISNUMBER(SEARCH("Tajeta", C256)), ISNUMBER(SEARCH("tarj", C256))), "Card", "")</f>
        <v>Card</v>
      </c>
      <c r="G256" s="1" t="s">
        <v>31</v>
      </c>
    </row>
    <row r="257" spans="1:7" ht="13">
      <c r="A257" s="3">
        <v>46357</v>
      </c>
      <c r="B257" s="2">
        <f t="shared" ref="B257:B429" si="26">DATE(RIGHT(A257,4),MID(A257,4,2),LEFT(A257,2))</f>
        <v>1629637</v>
      </c>
      <c r="C257" s="1" t="s">
        <v>38</v>
      </c>
      <c r="D257" s="1">
        <v>-35</v>
      </c>
      <c r="E257" s="1" t="s">
        <v>39</v>
      </c>
      <c r="F257" s="4" t="str">
        <f t="shared" si="25"/>
        <v>Card</v>
      </c>
      <c r="G257" s="1" t="s">
        <v>31</v>
      </c>
    </row>
    <row r="258" spans="1:7" ht="13">
      <c r="A258" s="1" t="s">
        <v>310</v>
      </c>
      <c r="B258" s="2">
        <f t="shared" si="26"/>
        <v>46035</v>
      </c>
      <c r="C258" s="1" t="s">
        <v>231</v>
      </c>
      <c r="D258" s="1">
        <v>-300</v>
      </c>
      <c r="E258" s="1" t="s">
        <v>273</v>
      </c>
      <c r="F258" s="4" t="str">
        <f t="shared" si="25"/>
        <v>Card</v>
      </c>
      <c r="G258" s="1" t="s">
        <v>31</v>
      </c>
    </row>
    <row r="259" spans="1:7" ht="13">
      <c r="A259" s="1" t="s">
        <v>8</v>
      </c>
      <c r="B259" s="2">
        <f t="shared" si="26"/>
        <v>46036</v>
      </c>
      <c r="C259" s="1" t="s">
        <v>311</v>
      </c>
      <c r="D259" s="1">
        <v>-500</v>
      </c>
      <c r="E259" s="1" t="s">
        <v>153</v>
      </c>
      <c r="F259" s="4" t="str">
        <f t="shared" si="25"/>
        <v>Card</v>
      </c>
      <c r="G259" s="1" t="s">
        <v>36</v>
      </c>
    </row>
    <row r="260" spans="1:7" ht="13">
      <c r="A260" s="1" t="s">
        <v>8</v>
      </c>
      <c r="B260" s="2">
        <f t="shared" si="26"/>
        <v>46036</v>
      </c>
      <c r="C260" s="1" t="s">
        <v>38</v>
      </c>
      <c r="D260" s="1">
        <v>-345</v>
      </c>
      <c r="E260" s="1" t="s">
        <v>39</v>
      </c>
      <c r="F260" s="4" t="str">
        <f t="shared" si="25"/>
        <v>Card</v>
      </c>
      <c r="G260" s="1" t="s">
        <v>31</v>
      </c>
    </row>
    <row r="261" spans="1:7" ht="13">
      <c r="A261" s="1" t="s">
        <v>8</v>
      </c>
      <c r="B261" s="2">
        <f t="shared" si="26"/>
        <v>46036</v>
      </c>
      <c r="C261" s="1" t="s">
        <v>312</v>
      </c>
      <c r="D261" s="1">
        <v>-205</v>
      </c>
      <c r="E261" s="1" t="s">
        <v>313</v>
      </c>
      <c r="F261" s="4" t="s">
        <v>49</v>
      </c>
      <c r="G261" s="4" t="s">
        <v>31</v>
      </c>
    </row>
    <row r="262" spans="1:7" ht="13">
      <c r="A262" s="1" t="s">
        <v>8</v>
      </c>
      <c r="B262" s="2">
        <f t="shared" si="26"/>
        <v>46036</v>
      </c>
      <c r="C262" s="1" t="s">
        <v>165</v>
      </c>
      <c r="D262" s="1">
        <v>-180</v>
      </c>
      <c r="E262" s="1" t="s">
        <v>314</v>
      </c>
      <c r="F262" s="4" t="str">
        <f t="shared" ref="F262:F270" si="27">IF(OR(ISNUMBER(SEARCH("Tajeta", C262)), ISNUMBER(SEARCH("tarj", C262))), "Card", "")</f>
        <v>Card</v>
      </c>
      <c r="G262" s="1" t="s">
        <v>31</v>
      </c>
    </row>
    <row r="263" spans="1:7" ht="13">
      <c r="A263" s="1" t="s">
        <v>8</v>
      </c>
      <c r="B263" s="2">
        <f t="shared" si="26"/>
        <v>46036</v>
      </c>
      <c r="C263" s="1" t="s">
        <v>66</v>
      </c>
      <c r="D263" s="1">
        <v>-50</v>
      </c>
      <c r="E263" s="1">
        <v>365</v>
      </c>
      <c r="F263" s="4" t="str">
        <f t="shared" si="27"/>
        <v>Card</v>
      </c>
      <c r="G263" s="1" t="s">
        <v>31</v>
      </c>
    </row>
    <row r="264" spans="1:7" ht="13">
      <c r="A264" s="1" t="s">
        <v>315</v>
      </c>
      <c r="B264" s="2">
        <f t="shared" si="26"/>
        <v>46037</v>
      </c>
      <c r="C264" s="1" t="s">
        <v>316</v>
      </c>
      <c r="D264" s="1">
        <v>-25</v>
      </c>
      <c r="E264" s="1" t="s">
        <v>220</v>
      </c>
      <c r="F264" s="4" t="str">
        <f t="shared" si="27"/>
        <v>Card</v>
      </c>
      <c r="G264" s="1" t="s">
        <v>31</v>
      </c>
    </row>
    <row r="265" spans="1:7" ht="13">
      <c r="A265" s="1" t="s">
        <v>317</v>
      </c>
      <c r="B265" s="2">
        <f t="shared" si="26"/>
        <v>46038</v>
      </c>
      <c r="C265" s="1" t="s">
        <v>318</v>
      </c>
      <c r="D265" s="1">
        <v>-114.37</v>
      </c>
      <c r="E265" s="1" t="s">
        <v>319</v>
      </c>
      <c r="F265" s="4" t="str">
        <f t="shared" si="27"/>
        <v>Card</v>
      </c>
      <c r="G265" s="1" t="s">
        <v>31</v>
      </c>
    </row>
    <row r="266" spans="1:7" ht="13">
      <c r="A266" s="1" t="s">
        <v>317</v>
      </c>
      <c r="B266" s="2">
        <f t="shared" si="26"/>
        <v>46038</v>
      </c>
      <c r="C266" s="1" t="s">
        <v>320</v>
      </c>
      <c r="D266" s="1">
        <v>-95.11</v>
      </c>
      <c r="E266" s="1" t="s">
        <v>321</v>
      </c>
      <c r="F266" s="4" t="str">
        <f t="shared" si="27"/>
        <v>Card</v>
      </c>
      <c r="G266" s="1" t="s">
        <v>31</v>
      </c>
    </row>
    <row r="267" spans="1:7" ht="13">
      <c r="A267" s="1" t="s">
        <v>317</v>
      </c>
      <c r="B267" s="2">
        <f t="shared" si="26"/>
        <v>46038</v>
      </c>
      <c r="C267" s="1" t="s">
        <v>316</v>
      </c>
      <c r="D267" s="1">
        <v>-25</v>
      </c>
      <c r="E267" s="1" t="s">
        <v>220</v>
      </c>
      <c r="F267" s="4" t="str">
        <f t="shared" si="27"/>
        <v>Card</v>
      </c>
      <c r="G267" s="1" t="s">
        <v>31</v>
      </c>
    </row>
    <row r="268" spans="1:7" ht="13">
      <c r="A268" s="1" t="s">
        <v>317</v>
      </c>
      <c r="B268" s="2">
        <f t="shared" si="26"/>
        <v>46038</v>
      </c>
      <c r="C268" s="1" t="s">
        <v>316</v>
      </c>
      <c r="D268" s="1">
        <v>-25</v>
      </c>
      <c r="E268" s="1" t="s">
        <v>220</v>
      </c>
      <c r="F268" s="4" t="str">
        <f t="shared" si="27"/>
        <v>Card</v>
      </c>
      <c r="G268" s="1" t="s">
        <v>31</v>
      </c>
    </row>
    <row r="269" spans="1:7" ht="13">
      <c r="A269" s="1" t="s">
        <v>317</v>
      </c>
      <c r="B269" s="2">
        <f t="shared" si="26"/>
        <v>46038</v>
      </c>
      <c r="C269" s="1" t="s">
        <v>322</v>
      </c>
      <c r="D269" s="1">
        <v>-12</v>
      </c>
      <c r="F269" s="4" t="str">
        <f t="shared" si="27"/>
        <v>Card</v>
      </c>
      <c r="G269" s="1" t="s">
        <v>31</v>
      </c>
    </row>
    <row r="270" spans="1:7" ht="13">
      <c r="A270" s="1" t="s">
        <v>323</v>
      </c>
      <c r="B270" s="2">
        <f t="shared" si="26"/>
        <v>46039</v>
      </c>
      <c r="C270" s="1" t="s">
        <v>324</v>
      </c>
      <c r="D270" s="1">
        <v>-14.8</v>
      </c>
      <c r="F270" s="4" t="str">
        <f t="shared" si="27"/>
        <v>Card</v>
      </c>
      <c r="G270" s="1" t="s">
        <v>31</v>
      </c>
    </row>
    <row r="271" spans="1:7" ht="13">
      <c r="A271" s="1" t="s">
        <v>9</v>
      </c>
      <c r="B271" s="2">
        <f t="shared" si="26"/>
        <v>46041</v>
      </c>
      <c r="C271" s="1" t="s">
        <v>325</v>
      </c>
      <c r="D271" s="1">
        <v>-500</v>
      </c>
      <c r="E271" s="1" t="s">
        <v>294</v>
      </c>
      <c r="F271" s="4" t="s">
        <v>35</v>
      </c>
      <c r="G271" s="1" t="s">
        <v>295</v>
      </c>
    </row>
    <row r="272" spans="1:7" ht="13">
      <c r="A272" s="1" t="s">
        <v>326</v>
      </c>
      <c r="B272" s="2">
        <f t="shared" si="26"/>
        <v>46042</v>
      </c>
      <c r="C272" s="1" t="s">
        <v>327</v>
      </c>
      <c r="D272" s="1">
        <v>-16</v>
      </c>
      <c r="F272" s="4" t="str">
        <f t="shared" ref="F272:F273" si="28">IF(OR(ISNUMBER(SEARCH("Tajeta", C272)), ISNUMBER(SEARCH("tarj", C272))), "Card", "")</f>
        <v>Card</v>
      </c>
      <c r="G272" s="1" t="s">
        <v>31</v>
      </c>
    </row>
    <row r="273" spans="1:7" ht="13">
      <c r="A273" s="1" t="s">
        <v>326</v>
      </c>
      <c r="B273" s="2">
        <f t="shared" si="26"/>
        <v>46042</v>
      </c>
      <c r="C273" s="1" t="s">
        <v>327</v>
      </c>
      <c r="D273" s="1">
        <v>-16</v>
      </c>
      <c r="F273" s="4" t="str">
        <f t="shared" si="28"/>
        <v>Card</v>
      </c>
      <c r="G273" s="1" t="s">
        <v>31</v>
      </c>
    </row>
    <row r="274" spans="1:7" ht="13">
      <c r="A274" s="1" t="s">
        <v>328</v>
      </c>
      <c r="B274" s="2">
        <f t="shared" si="26"/>
        <v>46050</v>
      </c>
      <c r="C274" s="1" t="s">
        <v>329</v>
      </c>
      <c r="D274" s="1">
        <v>-350</v>
      </c>
      <c r="E274" s="1" t="s">
        <v>330</v>
      </c>
      <c r="F274" s="4" t="s">
        <v>49</v>
      </c>
      <c r="G274" s="4" t="s">
        <v>31</v>
      </c>
    </row>
    <row r="275" spans="1:7" ht="13">
      <c r="A275" s="1" t="s">
        <v>10</v>
      </c>
      <c r="B275" s="2">
        <f t="shared" si="26"/>
        <v>46051</v>
      </c>
      <c r="C275" s="1" t="s">
        <v>137</v>
      </c>
      <c r="D275" s="1">
        <v>-350</v>
      </c>
      <c r="E275" s="1" t="s">
        <v>138</v>
      </c>
      <c r="F275" s="4" t="str">
        <f t="shared" ref="F275:F276" si="29">IF(OR(ISNUMBER(SEARCH("Tajeta", C275)), ISNUMBER(SEARCH("tarj", C275))), "Card", "")</f>
        <v>Card</v>
      </c>
      <c r="G275" s="1" t="s">
        <v>31</v>
      </c>
    </row>
    <row r="276" spans="1:7" ht="13">
      <c r="A276" s="1" t="s">
        <v>10</v>
      </c>
      <c r="B276" s="2">
        <f t="shared" si="26"/>
        <v>46051</v>
      </c>
      <c r="C276" s="1" t="s">
        <v>137</v>
      </c>
      <c r="D276" s="1">
        <v>-70</v>
      </c>
      <c r="E276" s="1" t="s">
        <v>138</v>
      </c>
      <c r="F276" s="4" t="str">
        <f t="shared" si="29"/>
        <v>Card</v>
      </c>
      <c r="G276" s="1" t="s">
        <v>31</v>
      </c>
    </row>
    <row r="277" spans="1:7" ht="13">
      <c r="A277" s="1" t="s">
        <v>331</v>
      </c>
      <c r="B277" s="2">
        <f t="shared" si="26"/>
        <v>46052</v>
      </c>
      <c r="C277" s="1" t="s">
        <v>332</v>
      </c>
      <c r="D277" s="5">
        <v>-2035</v>
      </c>
      <c r="E277" s="1" t="s">
        <v>333</v>
      </c>
      <c r="F277" s="1" t="s">
        <v>172</v>
      </c>
      <c r="G277" s="1" t="s">
        <v>36</v>
      </c>
    </row>
    <row r="278" spans="1:7" ht="13">
      <c r="A278" s="1" t="s">
        <v>334</v>
      </c>
      <c r="B278" s="2">
        <f t="shared" si="26"/>
        <v>46053</v>
      </c>
      <c r="C278" s="1" t="s">
        <v>335</v>
      </c>
      <c r="D278" s="1">
        <v>-58.85</v>
      </c>
      <c r="E278" s="1" t="s">
        <v>336</v>
      </c>
      <c r="F278" s="4" t="str">
        <f t="shared" ref="F278:F282" si="30">IF(OR(ISNUMBER(SEARCH("Tajeta", C278)), ISNUMBER(SEARCH("tarj", C278))), "Card", "")</f>
        <v>Card</v>
      </c>
      <c r="G278" s="1" t="s">
        <v>31</v>
      </c>
    </row>
    <row r="279" spans="1:7" ht="13">
      <c r="A279" s="3">
        <v>46024</v>
      </c>
      <c r="B279" s="2">
        <f t="shared" si="26"/>
        <v>1507007</v>
      </c>
      <c r="C279" s="1" t="s">
        <v>337</v>
      </c>
      <c r="D279" s="1">
        <v>-659.53</v>
      </c>
      <c r="E279" s="1" t="s">
        <v>153</v>
      </c>
      <c r="F279" s="4" t="str">
        <f t="shared" si="30"/>
        <v>Card</v>
      </c>
      <c r="G279" s="1" t="s">
        <v>36</v>
      </c>
    </row>
    <row r="280" spans="1:7" ht="13">
      <c r="A280" s="3">
        <v>46024</v>
      </c>
      <c r="B280" s="2">
        <f t="shared" si="26"/>
        <v>1507007</v>
      </c>
      <c r="C280" s="1" t="s">
        <v>338</v>
      </c>
      <c r="D280" s="1">
        <v>-111.3</v>
      </c>
      <c r="E280" s="1" t="s">
        <v>153</v>
      </c>
      <c r="F280" s="4" t="str">
        <f t="shared" si="30"/>
        <v>Card</v>
      </c>
      <c r="G280" s="1" t="s">
        <v>36</v>
      </c>
    </row>
    <row r="281" spans="1:7" ht="13">
      <c r="A281" s="3">
        <v>46024</v>
      </c>
      <c r="B281" s="2">
        <f t="shared" si="26"/>
        <v>1507007</v>
      </c>
      <c r="C281" s="1" t="s">
        <v>137</v>
      </c>
      <c r="D281" s="1">
        <v>-70</v>
      </c>
      <c r="E281" s="1" t="s">
        <v>138</v>
      </c>
      <c r="F281" s="4" t="str">
        <f t="shared" si="30"/>
        <v>Card</v>
      </c>
      <c r="G281" s="1" t="s">
        <v>31</v>
      </c>
    </row>
    <row r="282" spans="1:7" ht="13">
      <c r="A282" s="3">
        <v>46024</v>
      </c>
      <c r="B282" s="2">
        <f t="shared" si="26"/>
        <v>1507007</v>
      </c>
      <c r="C282" s="1" t="s">
        <v>290</v>
      </c>
      <c r="D282" s="1">
        <v>-9.76</v>
      </c>
      <c r="E282" s="1" t="s">
        <v>153</v>
      </c>
      <c r="F282" s="4" t="str">
        <f t="shared" si="30"/>
        <v>Card</v>
      </c>
      <c r="G282" s="1" t="s">
        <v>36</v>
      </c>
    </row>
    <row r="283" spans="1:7" ht="13">
      <c r="A283" s="3">
        <v>46083</v>
      </c>
      <c r="B283" s="2">
        <f t="shared" si="26"/>
        <v>1530353</v>
      </c>
      <c r="C283" s="1" t="s">
        <v>339</v>
      </c>
      <c r="D283" s="5">
        <v>-2075.66</v>
      </c>
      <c r="E283" s="1" t="s">
        <v>226</v>
      </c>
      <c r="F283" s="4" t="s">
        <v>49</v>
      </c>
      <c r="G283" s="4" t="s">
        <v>31</v>
      </c>
    </row>
    <row r="284" spans="1:7" ht="13">
      <c r="A284" s="3">
        <v>46083</v>
      </c>
      <c r="B284" s="2">
        <f t="shared" si="26"/>
        <v>1530353</v>
      </c>
      <c r="C284" s="1" t="s">
        <v>340</v>
      </c>
      <c r="D284" s="1">
        <v>-360</v>
      </c>
      <c r="E284" s="1">
        <v>247</v>
      </c>
      <c r="F284" s="4" t="s">
        <v>49</v>
      </c>
      <c r="G284" s="4" t="s">
        <v>31</v>
      </c>
    </row>
    <row r="285" spans="1:7" ht="13">
      <c r="A285" s="3">
        <v>46083</v>
      </c>
      <c r="B285" s="2">
        <f t="shared" si="26"/>
        <v>1530353</v>
      </c>
      <c r="C285" s="1" t="s">
        <v>341</v>
      </c>
      <c r="D285" s="1">
        <v>-287.08999999999997</v>
      </c>
      <c r="E285" s="1" t="s">
        <v>342</v>
      </c>
      <c r="F285" s="4" t="s">
        <v>49</v>
      </c>
      <c r="G285" s="4" t="s">
        <v>31</v>
      </c>
    </row>
    <row r="286" spans="1:7" ht="13">
      <c r="A286" s="3">
        <v>46114</v>
      </c>
      <c r="B286" s="2">
        <f t="shared" si="26"/>
        <v>1539575</v>
      </c>
      <c r="C286" s="1" t="s">
        <v>343</v>
      </c>
      <c r="D286" s="1">
        <v>-235.68</v>
      </c>
      <c r="E286" s="1" t="s">
        <v>319</v>
      </c>
      <c r="F286" s="4" t="str">
        <f t="shared" ref="F286:F288" si="31">IF(OR(ISNUMBER(SEARCH("Tajeta", C286)), ISNUMBER(SEARCH("tarj", C286))), "Card", "")</f>
        <v>Card</v>
      </c>
      <c r="G286" s="1" t="s">
        <v>31</v>
      </c>
    </row>
    <row r="287" spans="1:7" ht="13">
      <c r="A287" s="3">
        <v>46114</v>
      </c>
      <c r="B287" s="2">
        <f t="shared" si="26"/>
        <v>1539575</v>
      </c>
      <c r="C287" s="1" t="s">
        <v>344</v>
      </c>
      <c r="D287" s="1">
        <v>-119</v>
      </c>
      <c r="E287" s="1" t="s">
        <v>345</v>
      </c>
      <c r="F287" s="4" t="str">
        <f t="shared" si="31"/>
        <v>Card</v>
      </c>
      <c r="G287" s="1" t="s">
        <v>31</v>
      </c>
    </row>
    <row r="288" spans="1:7" ht="13">
      <c r="A288" s="3">
        <v>46114</v>
      </c>
      <c r="B288" s="2">
        <f t="shared" si="26"/>
        <v>1539575</v>
      </c>
      <c r="C288" s="1" t="s">
        <v>316</v>
      </c>
      <c r="D288" s="1">
        <v>-60</v>
      </c>
      <c r="E288" s="1" t="s">
        <v>220</v>
      </c>
      <c r="F288" s="4" t="str">
        <f t="shared" si="31"/>
        <v>Card</v>
      </c>
      <c r="G288" s="1" t="s">
        <v>31</v>
      </c>
    </row>
    <row r="289" spans="1:7" ht="13">
      <c r="A289" s="3">
        <v>46144</v>
      </c>
      <c r="B289" s="2">
        <f t="shared" si="26"/>
        <v>1551444</v>
      </c>
      <c r="C289" s="1" t="s">
        <v>346</v>
      </c>
      <c r="D289" s="1">
        <v>-315</v>
      </c>
      <c r="E289" s="1" t="s">
        <v>200</v>
      </c>
      <c r="F289" s="4" t="s">
        <v>49</v>
      </c>
      <c r="G289" s="4" t="s">
        <v>31</v>
      </c>
    </row>
    <row r="290" spans="1:7" ht="13">
      <c r="A290" s="3">
        <v>46175</v>
      </c>
      <c r="B290" s="2">
        <f t="shared" si="26"/>
        <v>1563710</v>
      </c>
      <c r="C290" s="1" t="s">
        <v>347</v>
      </c>
      <c r="D290" s="1">
        <v>-335</v>
      </c>
      <c r="E290" s="1" t="s">
        <v>348</v>
      </c>
      <c r="F290" s="4" t="s">
        <v>49</v>
      </c>
      <c r="G290" s="4" t="s">
        <v>31</v>
      </c>
    </row>
    <row r="291" spans="1:7" ht="13">
      <c r="A291" s="3">
        <v>46175</v>
      </c>
      <c r="B291" s="2">
        <f t="shared" si="26"/>
        <v>1563710</v>
      </c>
      <c r="C291" s="1" t="s">
        <v>349</v>
      </c>
      <c r="D291" s="1">
        <v>-50</v>
      </c>
      <c r="E291" s="1" t="s">
        <v>253</v>
      </c>
      <c r="F291" s="4" t="str">
        <f t="shared" ref="F291:F293" si="32">IF(OR(ISNUMBER(SEARCH("Tajeta", C291)), ISNUMBER(SEARCH("tarj", C291))), "Card", "")</f>
        <v>Card</v>
      </c>
      <c r="G291" s="1" t="s">
        <v>31</v>
      </c>
    </row>
    <row r="292" spans="1:7" ht="13">
      <c r="A292" s="3">
        <v>46205</v>
      </c>
      <c r="B292" s="2">
        <f t="shared" si="26"/>
        <v>1572536</v>
      </c>
      <c r="C292" s="1" t="s">
        <v>350</v>
      </c>
      <c r="D292" s="1">
        <v>-354.35</v>
      </c>
      <c r="E292" s="1" t="s">
        <v>336</v>
      </c>
      <c r="F292" s="4" t="str">
        <f t="shared" si="32"/>
        <v>Card</v>
      </c>
      <c r="G292" s="1" t="s">
        <v>31</v>
      </c>
    </row>
    <row r="293" spans="1:7" ht="13">
      <c r="A293" s="3">
        <v>46205</v>
      </c>
      <c r="B293" s="2">
        <f t="shared" si="26"/>
        <v>1572536</v>
      </c>
      <c r="C293" s="1" t="s">
        <v>137</v>
      </c>
      <c r="D293" s="1">
        <v>-70</v>
      </c>
      <c r="E293" s="1" t="s">
        <v>138</v>
      </c>
      <c r="F293" s="4" t="str">
        <f t="shared" si="32"/>
        <v>Card</v>
      </c>
      <c r="G293" s="1" t="s">
        <v>31</v>
      </c>
    </row>
    <row r="294" spans="1:7" ht="13">
      <c r="A294" s="3">
        <v>46267</v>
      </c>
      <c r="B294" s="2">
        <f t="shared" si="26"/>
        <v>1597069</v>
      </c>
      <c r="C294" s="1" t="s">
        <v>351</v>
      </c>
      <c r="D294" s="5">
        <v>-2000</v>
      </c>
      <c r="E294" s="1" t="s">
        <v>294</v>
      </c>
      <c r="F294" s="4" t="s">
        <v>35</v>
      </c>
      <c r="G294" s="1" t="s">
        <v>295</v>
      </c>
    </row>
    <row r="295" spans="1:7" ht="13">
      <c r="A295" s="3">
        <v>46267</v>
      </c>
      <c r="B295" s="2">
        <f t="shared" si="26"/>
        <v>1597069</v>
      </c>
      <c r="C295" s="1" t="s">
        <v>352</v>
      </c>
      <c r="D295" s="1">
        <v>-242</v>
      </c>
      <c r="E295" s="1" t="s">
        <v>152</v>
      </c>
      <c r="F295" s="4" t="s">
        <v>49</v>
      </c>
      <c r="G295" s="4" t="s">
        <v>31</v>
      </c>
    </row>
    <row r="296" spans="1:7" ht="13">
      <c r="A296" s="3">
        <v>46267</v>
      </c>
      <c r="B296" s="2">
        <f t="shared" si="26"/>
        <v>1597069</v>
      </c>
      <c r="C296" s="1" t="s">
        <v>59</v>
      </c>
      <c r="D296" s="1">
        <v>-12.33</v>
      </c>
      <c r="E296" s="1" t="s">
        <v>83</v>
      </c>
      <c r="F296" s="4" t="str">
        <f>IF(OR(ISNUMBER(SEARCH("Tajeta", C296)), ISNUMBER(SEARCH("tarj", C296))), "Card", "")</f>
        <v>Card</v>
      </c>
      <c r="G296" s="1" t="s">
        <v>36</v>
      </c>
    </row>
    <row r="297" spans="1:7" ht="13">
      <c r="A297" s="3">
        <v>46297</v>
      </c>
      <c r="B297" s="2">
        <f t="shared" si="26"/>
        <v>1608940</v>
      </c>
      <c r="C297" s="1" t="s">
        <v>353</v>
      </c>
      <c r="D297" s="1">
        <v>-338.43</v>
      </c>
      <c r="E297" s="1" t="s">
        <v>354</v>
      </c>
      <c r="F297" s="4" t="s">
        <v>49</v>
      </c>
      <c r="G297" s="4" t="s">
        <v>31</v>
      </c>
    </row>
    <row r="298" spans="1:7" ht="13">
      <c r="A298" s="3">
        <v>46297</v>
      </c>
      <c r="B298" s="2">
        <f t="shared" si="26"/>
        <v>1608940</v>
      </c>
      <c r="C298" s="1" t="s">
        <v>355</v>
      </c>
      <c r="D298" s="1">
        <v>-100</v>
      </c>
      <c r="F298" s="4" t="str">
        <f t="shared" ref="F298:F305" si="33">IF(OR(ISNUMBER(SEARCH("Tajeta", C298)), ISNUMBER(SEARCH("tarj", C298))), "Card", "")</f>
        <v>Card</v>
      </c>
      <c r="G298" s="1" t="s">
        <v>31</v>
      </c>
    </row>
    <row r="299" spans="1:7" ht="13">
      <c r="A299" s="3">
        <v>46328</v>
      </c>
      <c r="B299" s="2">
        <f t="shared" si="26"/>
        <v>1618161</v>
      </c>
      <c r="C299" s="1" t="s">
        <v>356</v>
      </c>
      <c r="D299" s="1">
        <v>-310</v>
      </c>
      <c r="F299" s="4" t="str">
        <f t="shared" si="33"/>
        <v>Card</v>
      </c>
      <c r="G299" s="1" t="s">
        <v>31</v>
      </c>
    </row>
    <row r="300" spans="1:7" ht="13">
      <c r="A300" s="3">
        <v>46328</v>
      </c>
      <c r="B300" s="2">
        <f t="shared" si="26"/>
        <v>1618161</v>
      </c>
      <c r="C300" s="1" t="s">
        <v>137</v>
      </c>
      <c r="D300" s="1">
        <v>-160</v>
      </c>
      <c r="E300" s="1" t="s">
        <v>138</v>
      </c>
      <c r="F300" s="4" t="str">
        <f t="shared" si="33"/>
        <v>Card</v>
      </c>
      <c r="G300" s="1" t="s">
        <v>31</v>
      </c>
    </row>
    <row r="301" spans="1:7" ht="13">
      <c r="A301" s="1" t="s">
        <v>357</v>
      </c>
      <c r="B301" s="2">
        <f t="shared" si="26"/>
        <v>46070</v>
      </c>
      <c r="C301" s="1" t="s">
        <v>137</v>
      </c>
      <c r="D301" s="1">
        <v>-70</v>
      </c>
      <c r="E301" s="1" t="s">
        <v>138</v>
      </c>
      <c r="F301" s="4" t="str">
        <f t="shared" si="33"/>
        <v>Card</v>
      </c>
      <c r="G301" s="1" t="s">
        <v>31</v>
      </c>
    </row>
    <row r="302" spans="1:7" ht="13">
      <c r="A302" s="1" t="s">
        <v>358</v>
      </c>
      <c r="B302" s="2">
        <f t="shared" si="26"/>
        <v>46071</v>
      </c>
      <c r="C302" s="1" t="s">
        <v>359</v>
      </c>
      <c r="D302" s="1">
        <v>-100</v>
      </c>
      <c r="E302" s="1" t="s">
        <v>360</v>
      </c>
      <c r="F302" s="4" t="str">
        <f t="shared" si="33"/>
        <v>Card</v>
      </c>
      <c r="G302" s="1" t="s">
        <v>31</v>
      </c>
    </row>
    <row r="303" spans="1:7" ht="13">
      <c r="A303" s="1" t="s">
        <v>358</v>
      </c>
      <c r="B303" s="2">
        <f t="shared" si="26"/>
        <v>46071</v>
      </c>
      <c r="C303" s="1" t="s">
        <v>137</v>
      </c>
      <c r="D303" s="1">
        <v>-70</v>
      </c>
      <c r="E303" s="1" t="s">
        <v>138</v>
      </c>
      <c r="F303" s="4" t="str">
        <f t="shared" si="33"/>
        <v>Card</v>
      </c>
      <c r="G303" s="1" t="s">
        <v>31</v>
      </c>
    </row>
    <row r="304" spans="1:7" ht="13">
      <c r="A304" s="1" t="s">
        <v>361</v>
      </c>
      <c r="B304" s="2">
        <f t="shared" si="26"/>
        <v>46072</v>
      </c>
      <c r="C304" s="1" t="s">
        <v>137</v>
      </c>
      <c r="D304" s="1">
        <v>-80</v>
      </c>
      <c r="E304" s="1" t="s">
        <v>138</v>
      </c>
      <c r="F304" s="4" t="str">
        <f t="shared" si="33"/>
        <v>Card</v>
      </c>
      <c r="G304" s="1" t="s">
        <v>31</v>
      </c>
    </row>
    <row r="305" spans="1:7" ht="13">
      <c r="A305" s="1" t="s">
        <v>361</v>
      </c>
      <c r="B305" s="2">
        <f t="shared" si="26"/>
        <v>46072</v>
      </c>
      <c r="C305" s="1" t="s">
        <v>349</v>
      </c>
      <c r="D305" s="1">
        <v>-50</v>
      </c>
      <c r="E305" s="1" t="s">
        <v>138</v>
      </c>
      <c r="F305" s="4" t="str">
        <f t="shared" si="33"/>
        <v>Card</v>
      </c>
      <c r="G305" s="1" t="s">
        <v>31</v>
      </c>
    </row>
    <row r="306" spans="1:7" ht="13">
      <c r="A306" s="1" t="s">
        <v>362</v>
      </c>
      <c r="B306" s="2">
        <f t="shared" si="26"/>
        <v>46073</v>
      </c>
      <c r="C306" s="1" t="s">
        <v>363</v>
      </c>
      <c r="D306" s="1">
        <v>-40</v>
      </c>
      <c r="E306" s="1" t="s">
        <v>364</v>
      </c>
      <c r="F306" s="4" t="s">
        <v>49</v>
      </c>
      <c r="G306" s="4" t="s">
        <v>31</v>
      </c>
    </row>
    <row r="307" spans="1:7" ht="13">
      <c r="A307" s="1" t="s">
        <v>365</v>
      </c>
      <c r="B307" s="2">
        <f t="shared" si="26"/>
        <v>46074</v>
      </c>
      <c r="C307" s="1" t="s">
        <v>366</v>
      </c>
      <c r="D307" s="1">
        <v>-50</v>
      </c>
      <c r="E307" s="1" t="s">
        <v>360</v>
      </c>
      <c r="F307" s="4" t="str">
        <f t="shared" ref="F307:F308" si="34">IF(OR(ISNUMBER(SEARCH("Tajeta", C307)), ISNUMBER(SEARCH("tarj", C307))), "Card", "")</f>
        <v>Card</v>
      </c>
      <c r="G307" s="1" t="s">
        <v>31</v>
      </c>
    </row>
    <row r="308" spans="1:7" ht="13">
      <c r="A308" s="1" t="s">
        <v>367</v>
      </c>
      <c r="B308" s="2">
        <f t="shared" si="26"/>
        <v>46076</v>
      </c>
      <c r="C308" s="1" t="s">
        <v>368</v>
      </c>
      <c r="D308" s="5">
        <v>-1043.6199999999999</v>
      </c>
      <c r="E308" s="1" t="s">
        <v>244</v>
      </c>
      <c r="F308" s="4" t="str">
        <f t="shared" si="34"/>
        <v>Card</v>
      </c>
      <c r="G308" s="1" t="s">
        <v>31</v>
      </c>
    </row>
    <row r="309" spans="1:7" ht="13">
      <c r="A309" s="1" t="s">
        <v>367</v>
      </c>
      <c r="B309" s="2">
        <f t="shared" si="26"/>
        <v>46076</v>
      </c>
      <c r="C309" s="1" t="s">
        <v>369</v>
      </c>
      <c r="D309" s="1">
        <v>-430</v>
      </c>
      <c r="E309" s="1" t="s">
        <v>302</v>
      </c>
      <c r="F309" s="4" t="s">
        <v>49</v>
      </c>
      <c r="G309" s="4" t="s">
        <v>31</v>
      </c>
    </row>
    <row r="310" spans="1:7" ht="13">
      <c r="A310" s="1" t="s">
        <v>367</v>
      </c>
      <c r="B310" s="2">
        <f t="shared" si="26"/>
        <v>46076</v>
      </c>
      <c r="C310" s="1" t="s">
        <v>370</v>
      </c>
      <c r="D310" s="1">
        <v>-140</v>
      </c>
      <c r="E310" s="1" t="s">
        <v>371</v>
      </c>
      <c r="F310" s="4" t="s">
        <v>49</v>
      </c>
      <c r="G310" s="4" t="s">
        <v>31</v>
      </c>
    </row>
    <row r="311" spans="1:7" ht="13">
      <c r="A311" s="1" t="s">
        <v>367</v>
      </c>
      <c r="B311" s="2">
        <f t="shared" si="26"/>
        <v>46076</v>
      </c>
      <c r="C311" s="1" t="s">
        <v>372</v>
      </c>
      <c r="D311" s="1">
        <v>-136</v>
      </c>
      <c r="E311" s="1" t="s">
        <v>373</v>
      </c>
      <c r="F311" s="4" t="s">
        <v>49</v>
      </c>
      <c r="G311" s="4" t="s">
        <v>31</v>
      </c>
    </row>
    <row r="312" spans="1:7" ht="13">
      <c r="A312" s="1" t="s">
        <v>374</v>
      </c>
      <c r="B312" s="2">
        <f t="shared" si="26"/>
        <v>46077</v>
      </c>
      <c r="C312" s="1" t="s">
        <v>375</v>
      </c>
      <c r="D312" s="5">
        <v>-2035</v>
      </c>
      <c r="E312" s="1" t="s">
        <v>376</v>
      </c>
      <c r="F312" s="1" t="s">
        <v>172</v>
      </c>
      <c r="G312" s="1" t="s">
        <v>36</v>
      </c>
    </row>
    <row r="313" spans="1:7" ht="13">
      <c r="A313" s="1" t="s">
        <v>374</v>
      </c>
      <c r="B313" s="2">
        <f t="shared" si="26"/>
        <v>46077</v>
      </c>
      <c r="C313" s="1" t="s">
        <v>377</v>
      </c>
      <c r="D313" s="1">
        <v>-600</v>
      </c>
      <c r="E313" s="1" t="s">
        <v>378</v>
      </c>
      <c r="F313" s="4" t="s">
        <v>49</v>
      </c>
      <c r="G313" s="4" t="s">
        <v>31</v>
      </c>
    </row>
    <row r="314" spans="1:7" ht="13">
      <c r="A314" s="1" t="s">
        <v>11</v>
      </c>
      <c r="B314" s="2">
        <f t="shared" si="26"/>
        <v>46078</v>
      </c>
      <c r="C314" s="1" t="s">
        <v>165</v>
      </c>
      <c r="D314" s="1">
        <v>-97</v>
      </c>
      <c r="E314" s="1" t="s">
        <v>379</v>
      </c>
      <c r="F314" s="4" t="str">
        <f t="shared" ref="F314:F322" si="35">IF(OR(ISNUMBER(SEARCH("Tajeta", C314)), ISNUMBER(SEARCH("tarj", C314))), "Card", "")</f>
        <v>Card</v>
      </c>
      <c r="G314" s="1" t="s">
        <v>31</v>
      </c>
    </row>
    <row r="315" spans="1:7" ht="13">
      <c r="A315" s="1" t="s">
        <v>11</v>
      </c>
      <c r="B315" s="2">
        <f t="shared" si="26"/>
        <v>46078</v>
      </c>
      <c r="C315" s="1" t="s">
        <v>137</v>
      </c>
      <c r="D315" s="1">
        <v>-70</v>
      </c>
      <c r="E315" s="1" t="s">
        <v>138</v>
      </c>
      <c r="F315" s="4" t="str">
        <f t="shared" si="35"/>
        <v>Card</v>
      </c>
      <c r="G315" s="1" t="s">
        <v>31</v>
      </c>
    </row>
    <row r="316" spans="1:7" ht="13">
      <c r="A316" s="1" t="s">
        <v>380</v>
      </c>
      <c r="B316" s="2">
        <f t="shared" si="26"/>
        <v>46081</v>
      </c>
      <c r="C316" s="1" t="s">
        <v>356</v>
      </c>
      <c r="D316" s="1">
        <v>-310</v>
      </c>
      <c r="F316" s="4" t="str">
        <f t="shared" si="35"/>
        <v>Card</v>
      </c>
      <c r="G316" s="1" t="s">
        <v>31</v>
      </c>
    </row>
    <row r="317" spans="1:7" ht="13">
      <c r="A317" s="3">
        <v>46025</v>
      </c>
      <c r="B317" s="2">
        <f t="shared" si="26"/>
        <v>1507403</v>
      </c>
      <c r="C317" s="1" t="s">
        <v>239</v>
      </c>
      <c r="D317" s="1">
        <v>-127.85</v>
      </c>
      <c r="E317" s="1" t="s">
        <v>153</v>
      </c>
      <c r="F317" s="4" t="str">
        <f t="shared" si="35"/>
        <v>Card</v>
      </c>
      <c r="G317" s="1" t="s">
        <v>36</v>
      </c>
    </row>
    <row r="318" spans="1:7" ht="13">
      <c r="A318" s="3">
        <v>46025</v>
      </c>
      <c r="B318" s="2">
        <f t="shared" si="26"/>
        <v>1507403</v>
      </c>
      <c r="C318" s="1" t="s">
        <v>290</v>
      </c>
      <c r="D318" s="1">
        <v>-23.15</v>
      </c>
      <c r="E318" s="1" t="s">
        <v>153</v>
      </c>
      <c r="F318" s="4" t="str">
        <f t="shared" si="35"/>
        <v>Card</v>
      </c>
      <c r="G318" s="1" t="s">
        <v>36</v>
      </c>
    </row>
    <row r="319" spans="1:7" ht="13">
      <c r="A319" s="3">
        <v>46056</v>
      </c>
      <c r="B319" s="2">
        <f t="shared" si="26"/>
        <v>1519669</v>
      </c>
      <c r="C319" s="1" t="s">
        <v>381</v>
      </c>
      <c r="D319" s="1">
        <v>-739.28</v>
      </c>
      <c r="E319" s="1" t="s">
        <v>226</v>
      </c>
      <c r="F319" s="4" t="str">
        <f t="shared" si="35"/>
        <v>Card</v>
      </c>
      <c r="G319" s="1" t="s">
        <v>31</v>
      </c>
    </row>
    <row r="320" spans="1:7" ht="13">
      <c r="A320" s="3">
        <v>46056</v>
      </c>
      <c r="B320" s="2">
        <f t="shared" si="26"/>
        <v>1519669</v>
      </c>
      <c r="C320" s="1" t="s">
        <v>382</v>
      </c>
      <c r="D320" s="1">
        <v>-327.91</v>
      </c>
      <c r="E320" s="1" t="s">
        <v>226</v>
      </c>
      <c r="F320" s="4" t="str">
        <f t="shared" si="35"/>
        <v>Card</v>
      </c>
      <c r="G320" s="1" t="s">
        <v>31</v>
      </c>
    </row>
    <row r="321" spans="1:7" ht="13">
      <c r="A321" s="3">
        <v>46056</v>
      </c>
      <c r="B321" s="2">
        <f t="shared" si="26"/>
        <v>1519669</v>
      </c>
      <c r="C321" s="1" t="s">
        <v>383</v>
      </c>
      <c r="D321" s="1">
        <v>-53.65</v>
      </c>
      <c r="E321" s="1" t="s">
        <v>226</v>
      </c>
      <c r="F321" s="4" t="str">
        <f t="shared" si="35"/>
        <v>Card</v>
      </c>
      <c r="G321" s="1" t="s">
        <v>31</v>
      </c>
    </row>
    <row r="322" spans="1:7" ht="13">
      <c r="A322" s="3">
        <v>46056</v>
      </c>
      <c r="B322" s="2">
        <f t="shared" si="26"/>
        <v>1519669</v>
      </c>
      <c r="C322" s="1" t="s">
        <v>383</v>
      </c>
      <c r="D322" s="1">
        <v>-53.65</v>
      </c>
      <c r="E322" s="1" t="s">
        <v>226</v>
      </c>
      <c r="F322" s="4" t="str">
        <f t="shared" si="35"/>
        <v>Card</v>
      </c>
      <c r="G322" s="1" t="s">
        <v>31</v>
      </c>
    </row>
    <row r="323" spans="1:7" ht="13">
      <c r="A323" s="3">
        <v>46084</v>
      </c>
      <c r="B323" s="2">
        <f t="shared" si="26"/>
        <v>1530748</v>
      </c>
      <c r="C323" s="1" t="s">
        <v>384</v>
      </c>
      <c r="D323" s="5">
        <v>-2035</v>
      </c>
      <c r="E323" s="1" t="s">
        <v>385</v>
      </c>
      <c r="F323" s="1" t="s">
        <v>172</v>
      </c>
      <c r="G323" s="1" t="s">
        <v>36</v>
      </c>
    </row>
    <row r="324" spans="1:7" ht="13">
      <c r="A324" s="3">
        <v>46145</v>
      </c>
      <c r="B324" s="2">
        <f t="shared" si="26"/>
        <v>1551841</v>
      </c>
      <c r="C324" s="1" t="s">
        <v>386</v>
      </c>
      <c r="D324" s="1">
        <v>-60.8</v>
      </c>
      <c r="F324" s="4" t="str">
        <f t="shared" ref="F324:F328" si="36">IF(OR(ISNUMBER(SEARCH("Tajeta", C324)), ISNUMBER(SEARCH("tarj", C324))), "Card", "")</f>
        <v>Card</v>
      </c>
      <c r="G324" s="1" t="s">
        <v>31</v>
      </c>
    </row>
    <row r="325" spans="1:7" ht="13">
      <c r="A325" s="3">
        <v>46145</v>
      </c>
      <c r="B325" s="2">
        <f t="shared" si="26"/>
        <v>1551841</v>
      </c>
      <c r="C325" s="1" t="s">
        <v>387</v>
      </c>
      <c r="D325" s="1">
        <v>-54</v>
      </c>
      <c r="E325" s="1" t="s">
        <v>226</v>
      </c>
      <c r="F325" s="4" t="str">
        <f t="shared" si="36"/>
        <v>Card</v>
      </c>
      <c r="G325" s="1" t="s">
        <v>31</v>
      </c>
    </row>
    <row r="326" spans="1:7" ht="13">
      <c r="A326" s="3">
        <v>46145</v>
      </c>
      <c r="B326" s="2">
        <f t="shared" si="26"/>
        <v>1551841</v>
      </c>
      <c r="C326" s="1" t="s">
        <v>38</v>
      </c>
      <c r="D326" s="1">
        <v>-35</v>
      </c>
      <c r="E326" s="1" t="s">
        <v>39</v>
      </c>
      <c r="F326" s="4" t="str">
        <f t="shared" si="36"/>
        <v>Card</v>
      </c>
      <c r="G326" s="1" t="s">
        <v>31</v>
      </c>
    </row>
    <row r="327" spans="1:7" ht="13">
      <c r="A327" s="3">
        <v>46176</v>
      </c>
      <c r="B327" s="2">
        <f t="shared" si="26"/>
        <v>1564106</v>
      </c>
      <c r="C327" s="1" t="s">
        <v>137</v>
      </c>
      <c r="D327" s="1">
        <v>-80</v>
      </c>
      <c r="E327" s="1" t="s">
        <v>388</v>
      </c>
      <c r="F327" s="4" t="str">
        <f t="shared" si="36"/>
        <v>Card</v>
      </c>
      <c r="G327" s="1" t="s">
        <v>31</v>
      </c>
    </row>
    <row r="328" spans="1:7" ht="13">
      <c r="A328" s="3">
        <v>46206</v>
      </c>
      <c r="B328" s="2">
        <f t="shared" si="26"/>
        <v>1572932</v>
      </c>
      <c r="C328" s="1" t="s">
        <v>389</v>
      </c>
      <c r="D328" s="1">
        <v>-50</v>
      </c>
      <c r="E328" s="1">
        <v>365</v>
      </c>
      <c r="F328" s="4" t="str">
        <f t="shared" si="36"/>
        <v>Card</v>
      </c>
      <c r="G328" s="1" t="s">
        <v>31</v>
      </c>
    </row>
    <row r="329" spans="1:7" ht="13">
      <c r="A329" s="3">
        <v>46268</v>
      </c>
      <c r="B329" s="2">
        <f t="shared" si="26"/>
        <v>1597465</v>
      </c>
      <c r="C329" s="1" t="s">
        <v>390</v>
      </c>
      <c r="D329" s="5">
        <v>-1390</v>
      </c>
      <c r="E329" s="1" t="s">
        <v>391</v>
      </c>
      <c r="F329" s="4" t="s">
        <v>49</v>
      </c>
      <c r="G329" s="4" t="s">
        <v>31</v>
      </c>
    </row>
    <row r="330" spans="1:7" ht="13">
      <c r="A330" s="3">
        <v>46268</v>
      </c>
      <c r="B330" s="2">
        <f t="shared" si="26"/>
        <v>1597465</v>
      </c>
      <c r="C330" s="1" t="s">
        <v>392</v>
      </c>
      <c r="D330" s="1">
        <v>-619.88</v>
      </c>
      <c r="E330" s="1" t="s">
        <v>393</v>
      </c>
      <c r="F330" s="4" t="str">
        <f t="shared" ref="F330:F337" si="37">IF(OR(ISNUMBER(SEARCH("Tajeta", C330)), ISNUMBER(SEARCH("tarj", C330))), "Card", "")</f>
        <v>Card</v>
      </c>
      <c r="G330" s="1" t="s">
        <v>31</v>
      </c>
    </row>
    <row r="331" spans="1:7" ht="13">
      <c r="A331" s="3">
        <v>46268</v>
      </c>
      <c r="B331" s="2">
        <f t="shared" si="26"/>
        <v>1597465</v>
      </c>
      <c r="C331" s="1" t="s">
        <v>394</v>
      </c>
      <c r="D331" s="1">
        <v>-126.39</v>
      </c>
      <c r="F331" s="4" t="str">
        <f t="shared" si="37"/>
        <v>Card</v>
      </c>
      <c r="G331" s="1" t="s">
        <v>31</v>
      </c>
    </row>
    <row r="332" spans="1:7" ht="13">
      <c r="A332" s="3">
        <v>46268</v>
      </c>
      <c r="B332" s="2">
        <f t="shared" si="26"/>
        <v>1597465</v>
      </c>
      <c r="C332" s="1" t="s">
        <v>395</v>
      </c>
      <c r="D332" s="1">
        <v>-120.37</v>
      </c>
      <c r="E332" s="1" t="s">
        <v>396</v>
      </c>
      <c r="F332" s="4" t="str">
        <f t="shared" si="37"/>
        <v>Card</v>
      </c>
      <c r="G332" s="1" t="s">
        <v>31</v>
      </c>
    </row>
    <row r="333" spans="1:7" ht="13">
      <c r="A333" s="3">
        <v>46268</v>
      </c>
      <c r="B333" s="2">
        <f t="shared" si="26"/>
        <v>1597465</v>
      </c>
      <c r="C333" s="1" t="s">
        <v>397</v>
      </c>
      <c r="D333" s="1">
        <v>-114.35</v>
      </c>
      <c r="E333" s="1" t="s">
        <v>398</v>
      </c>
      <c r="F333" s="4" t="str">
        <f t="shared" si="37"/>
        <v>Card</v>
      </c>
      <c r="G333" s="1" t="s">
        <v>31</v>
      </c>
    </row>
    <row r="334" spans="1:7" ht="13">
      <c r="A334" s="3">
        <v>46268</v>
      </c>
      <c r="B334" s="2">
        <f t="shared" si="26"/>
        <v>1597465</v>
      </c>
      <c r="C334" s="1" t="s">
        <v>397</v>
      </c>
      <c r="D334" s="1">
        <v>-114.35</v>
      </c>
      <c r="E334" s="1" t="s">
        <v>398</v>
      </c>
      <c r="F334" s="4" t="str">
        <f t="shared" si="37"/>
        <v>Card</v>
      </c>
      <c r="G334" s="1" t="s">
        <v>31</v>
      </c>
    </row>
    <row r="335" spans="1:7" ht="13">
      <c r="A335" s="3">
        <v>46268</v>
      </c>
      <c r="B335" s="2">
        <f t="shared" si="26"/>
        <v>1597465</v>
      </c>
      <c r="C335" s="1" t="s">
        <v>335</v>
      </c>
      <c r="D335" s="1">
        <v>-58.82</v>
      </c>
      <c r="E335" s="1" t="s">
        <v>399</v>
      </c>
      <c r="F335" s="4" t="str">
        <f t="shared" si="37"/>
        <v>Card</v>
      </c>
      <c r="G335" s="1" t="s">
        <v>31</v>
      </c>
    </row>
    <row r="336" spans="1:7" ht="13">
      <c r="A336" s="3">
        <v>46268</v>
      </c>
      <c r="B336" s="2">
        <f t="shared" si="26"/>
        <v>1597465</v>
      </c>
      <c r="C336" s="1" t="s">
        <v>82</v>
      </c>
      <c r="D336" s="1">
        <v>-12.57</v>
      </c>
      <c r="E336" s="1" t="s">
        <v>83</v>
      </c>
      <c r="F336" s="4" t="str">
        <f t="shared" si="37"/>
        <v>Card</v>
      </c>
      <c r="G336" s="1" t="s">
        <v>36</v>
      </c>
    </row>
    <row r="337" spans="1:7" ht="13">
      <c r="A337" s="3">
        <v>46298</v>
      </c>
      <c r="B337" s="2">
        <f t="shared" si="26"/>
        <v>1609336</v>
      </c>
      <c r="C337" s="1" t="s">
        <v>400</v>
      </c>
      <c r="D337" s="1">
        <v>-10</v>
      </c>
      <c r="E337" s="1" t="s">
        <v>401</v>
      </c>
      <c r="F337" s="4" t="str">
        <f t="shared" si="37"/>
        <v>Card</v>
      </c>
      <c r="G337" s="1" t="s">
        <v>31</v>
      </c>
    </row>
    <row r="338" spans="1:7" ht="13">
      <c r="A338" s="3">
        <v>46329</v>
      </c>
      <c r="B338" s="2">
        <f t="shared" si="26"/>
        <v>1618556</v>
      </c>
      <c r="C338" s="1" t="s">
        <v>402</v>
      </c>
      <c r="D338" s="1">
        <v>-490</v>
      </c>
      <c r="E338" s="1" t="s">
        <v>175</v>
      </c>
      <c r="F338" s="4" t="s">
        <v>49</v>
      </c>
      <c r="G338" s="4" t="s">
        <v>31</v>
      </c>
    </row>
    <row r="339" spans="1:7" ht="13">
      <c r="A339" s="3">
        <v>46329</v>
      </c>
      <c r="B339" s="2">
        <f t="shared" si="26"/>
        <v>1618556</v>
      </c>
      <c r="C339" s="1" t="s">
        <v>403</v>
      </c>
      <c r="D339" s="1">
        <v>-349.62</v>
      </c>
      <c r="E339" s="1" t="s">
        <v>226</v>
      </c>
      <c r="F339" s="4" t="str">
        <f t="shared" ref="F339:F340" si="38">IF(OR(ISNUMBER(SEARCH("Tajeta", C339)), ISNUMBER(SEARCH("tarj", C339))), "Card", "")</f>
        <v>Card</v>
      </c>
      <c r="G339" s="1" t="s">
        <v>31</v>
      </c>
    </row>
    <row r="340" spans="1:7" ht="13">
      <c r="A340" s="3">
        <v>46329</v>
      </c>
      <c r="B340" s="2">
        <f t="shared" si="26"/>
        <v>1618556</v>
      </c>
      <c r="C340" s="1" t="s">
        <v>404</v>
      </c>
      <c r="D340" s="1">
        <v>-331.54</v>
      </c>
      <c r="E340" s="1" t="s">
        <v>226</v>
      </c>
      <c r="F340" s="4" t="str">
        <f t="shared" si="38"/>
        <v>Card</v>
      </c>
      <c r="G340" s="1" t="s">
        <v>31</v>
      </c>
    </row>
    <row r="341" spans="1:7" ht="13">
      <c r="A341" s="3">
        <v>46329</v>
      </c>
      <c r="B341" s="2">
        <f t="shared" si="26"/>
        <v>1618556</v>
      </c>
      <c r="C341" s="1" t="s">
        <v>405</v>
      </c>
      <c r="D341" s="1">
        <v>-170</v>
      </c>
      <c r="E341" s="1" t="s">
        <v>179</v>
      </c>
      <c r="F341" s="4" t="s">
        <v>49</v>
      </c>
      <c r="G341" s="4" t="s">
        <v>31</v>
      </c>
    </row>
    <row r="342" spans="1:7" ht="13">
      <c r="A342" s="3">
        <v>46329</v>
      </c>
      <c r="B342" s="2">
        <f t="shared" si="26"/>
        <v>1618556</v>
      </c>
      <c r="C342" s="1" t="s">
        <v>406</v>
      </c>
      <c r="D342" s="1">
        <v>-150</v>
      </c>
      <c r="E342" s="1" t="s">
        <v>407</v>
      </c>
      <c r="F342" s="4" t="s">
        <v>49</v>
      </c>
      <c r="G342" s="4" t="s">
        <v>31</v>
      </c>
    </row>
    <row r="343" spans="1:7" ht="13">
      <c r="A343" s="3">
        <v>46329</v>
      </c>
      <c r="B343" s="2">
        <f t="shared" si="26"/>
        <v>1618556</v>
      </c>
      <c r="C343" s="1" t="s">
        <v>408</v>
      </c>
      <c r="D343" s="1">
        <v>-140</v>
      </c>
      <c r="E343" s="1">
        <v>247</v>
      </c>
      <c r="F343" s="4" t="s">
        <v>49</v>
      </c>
      <c r="G343" s="4" t="s">
        <v>31</v>
      </c>
    </row>
    <row r="344" spans="1:7" ht="13">
      <c r="A344" s="3">
        <v>46359</v>
      </c>
      <c r="B344" s="2">
        <f t="shared" si="26"/>
        <v>1630428</v>
      </c>
      <c r="C344" s="1" t="s">
        <v>409</v>
      </c>
      <c r="D344" s="5">
        <v>-2035</v>
      </c>
      <c r="E344" s="1" t="s">
        <v>410</v>
      </c>
      <c r="F344" s="1" t="s">
        <v>172</v>
      </c>
      <c r="G344" s="1" t="s">
        <v>36</v>
      </c>
    </row>
    <row r="345" spans="1:7" ht="13">
      <c r="A345" s="3">
        <v>46359</v>
      </c>
      <c r="B345" s="2">
        <f t="shared" si="26"/>
        <v>1630428</v>
      </c>
      <c r="C345" s="1" t="s">
        <v>411</v>
      </c>
      <c r="D345" s="1">
        <v>-386.71</v>
      </c>
      <c r="E345" s="1" t="s">
        <v>226</v>
      </c>
      <c r="F345" s="4" t="str">
        <f t="shared" ref="F345:F347" si="39">IF(OR(ISNUMBER(SEARCH("Tajeta", C345)), ISNUMBER(SEARCH("tarj", C345))), "Card", "")</f>
        <v>Card</v>
      </c>
      <c r="G345" s="1" t="s">
        <v>31</v>
      </c>
    </row>
    <row r="346" spans="1:7" ht="13">
      <c r="A346" s="3">
        <v>46359</v>
      </c>
      <c r="B346" s="2">
        <f t="shared" si="26"/>
        <v>1630428</v>
      </c>
      <c r="C346" s="1" t="s">
        <v>411</v>
      </c>
      <c r="D346" s="1">
        <v>-386.71</v>
      </c>
      <c r="E346" s="1" t="s">
        <v>226</v>
      </c>
      <c r="F346" s="4" t="str">
        <f t="shared" si="39"/>
        <v>Card</v>
      </c>
      <c r="G346" s="1" t="s">
        <v>31</v>
      </c>
    </row>
    <row r="347" spans="1:7" ht="13">
      <c r="A347" s="1" t="s">
        <v>412</v>
      </c>
      <c r="B347" s="2">
        <f t="shared" si="26"/>
        <v>46097</v>
      </c>
      <c r="C347" s="1" t="s">
        <v>411</v>
      </c>
      <c r="D347" s="1">
        <v>-386.74</v>
      </c>
      <c r="E347" s="1" t="s">
        <v>226</v>
      </c>
      <c r="F347" s="4" t="str">
        <f t="shared" si="39"/>
        <v>Card</v>
      </c>
      <c r="G347" s="1" t="s">
        <v>31</v>
      </c>
    </row>
    <row r="348" spans="1:7" ht="13">
      <c r="A348" s="1" t="s">
        <v>412</v>
      </c>
      <c r="B348" s="2">
        <f t="shared" si="26"/>
        <v>46097</v>
      </c>
      <c r="C348" s="1" t="s">
        <v>413</v>
      </c>
      <c r="D348" s="1">
        <v>-200</v>
      </c>
      <c r="E348" s="1" t="s">
        <v>414</v>
      </c>
      <c r="F348" s="4" t="s">
        <v>49</v>
      </c>
      <c r="G348" s="4" t="s">
        <v>31</v>
      </c>
    </row>
    <row r="349" spans="1:7" ht="13">
      <c r="A349" s="1" t="s">
        <v>412</v>
      </c>
      <c r="B349" s="2">
        <f t="shared" si="26"/>
        <v>46097</v>
      </c>
      <c r="C349" s="1" t="s">
        <v>415</v>
      </c>
      <c r="D349" s="1">
        <v>-54.38</v>
      </c>
      <c r="E349" s="1" t="s">
        <v>226</v>
      </c>
      <c r="F349" s="4" t="str">
        <f t="shared" ref="F349:F355" si="40">IF(OR(ISNUMBER(SEARCH("Tajeta", C349)), ISNUMBER(SEARCH("tarj", C349))), "Card", "")</f>
        <v>Card</v>
      </c>
      <c r="G349" s="1" t="s">
        <v>31</v>
      </c>
    </row>
    <row r="350" spans="1:7" ht="13">
      <c r="A350" s="1" t="s">
        <v>412</v>
      </c>
      <c r="B350" s="2">
        <f t="shared" si="26"/>
        <v>46097</v>
      </c>
      <c r="C350" s="1" t="s">
        <v>415</v>
      </c>
      <c r="D350" s="1">
        <v>-54.38</v>
      </c>
      <c r="E350" s="1" t="s">
        <v>226</v>
      </c>
      <c r="F350" s="4" t="str">
        <f t="shared" si="40"/>
        <v>Card</v>
      </c>
      <c r="G350" s="1" t="s">
        <v>31</v>
      </c>
    </row>
    <row r="351" spans="1:7" ht="13">
      <c r="A351" s="1" t="s">
        <v>412</v>
      </c>
      <c r="B351" s="2">
        <f t="shared" si="26"/>
        <v>46097</v>
      </c>
      <c r="C351" s="1" t="s">
        <v>415</v>
      </c>
      <c r="D351" s="1">
        <v>-54.38</v>
      </c>
      <c r="E351" s="1" t="s">
        <v>226</v>
      </c>
      <c r="F351" s="4" t="str">
        <f t="shared" si="40"/>
        <v>Card</v>
      </c>
      <c r="G351" s="1" t="s">
        <v>31</v>
      </c>
    </row>
    <row r="352" spans="1:7" ht="13">
      <c r="A352" s="1" t="s">
        <v>412</v>
      </c>
      <c r="B352" s="2">
        <f t="shared" si="26"/>
        <v>46097</v>
      </c>
      <c r="C352" s="1" t="s">
        <v>415</v>
      </c>
      <c r="D352" s="1">
        <v>-54.38</v>
      </c>
      <c r="E352" s="1" t="s">
        <v>226</v>
      </c>
      <c r="F352" s="4" t="str">
        <f t="shared" si="40"/>
        <v>Card</v>
      </c>
      <c r="G352" s="1" t="s">
        <v>31</v>
      </c>
    </row>
    <row r="353" spans="1:7" ht="13">
      <c r="A353" s="1" t="s">
        <v>416</v>
      </c>
      <c r="B353" s="2">
        <f t="shared" si="26"/>
        <v>46098</v>
      </c>
      <c r="C353" s="1" t="s">
        <v>417</v>
      </c>
      <c r="D353" s="1">
        <v>-110</v>
      </c>
      <c r="E353" s="1" t="s">
        <v>418</v>
      </c>
      <c r="F353" s="4" t="str">
        <f t="shared" si="40"/>
        <v>Card</v>
      </c>
      <c r="G353" s="1" t="s">
        <v>31</v>
      </c>
    </row>
    <row r="354" spans="1:7" ht="13">
      <c r="A354" s="1" t="s">
        <v>416</v>
      </c>
      <c r="B354" s="2">
        <f t="shared" si="26"/>
        <v>46098</v>
      </c>
      <c r="C354" s="1" t="s">
        <v>417</v>
      </c>
      <c r="D354" s="1">
        <v>-90</v>
      </c>
      <c r="E354" s="1" t="s">
        <v>418</v>
      </c>
      <c r="F354" s="4" t="str">
        <f t="shared" si="40"/>
        <v>Card</v>
      </c>
      <c r="G354" s="1" t="s">
        <v>31</v>
      </c>
    </row>
    <row r="355" spans="1:7" ht="13">
      <c r="A355" s="1" t="s">
        <v>419</v>
      </c>
      <c r="B355" s="2">
        <f t="shared" si="26"/>
        <v>46100</v>
      </c>
      <c r="C355" s="1" t="s">
        <v>420</v>
      </c>
      <c r="D355" s="1">
        <v>-295</v>
      </c>
      <c r="E355" s="1" t="s">
        <v>421</v>
      </c>
      <c r="F355" s="4" t="str">
        <f t="shared" si="40"/>
        <v>Card</v>
      </c>
      <c r="G355" s="1" t="s">
        <v>31</v>
      </c>
    </row>
    <row r="356" spans="1:7" ht="13">
      <c r="A356" s="1" t="s">
        <v>419</v>
      </c>
      <c r="B356" s="2">
        <f t="shared" si="26"/>
        <v>46100</v>
      </c>
      <c r="C356" s="1" t="s">
        <v>422</v>
      </c>
      <c r="D356" s="1">
        <v>-250</v>
      </c>
      <c r="E356" s="1" t="s">
        <v>423</v>
      </c>
      <c r="F356" s="4" t="s">
        <v>49</v>
      </c>
      <c r="G356" s="4" t="s">
        <v>31</v>
      </c>
    </row>
    <row r="357" spans="1:7" ht="13">
      <c r="A357" s="1" t="s">
        <v>419</v>
      </c>
      <c r="B357" s="2">
        <f t="shared" si="26"/>
        <v>46100</v>
      </c>
      <c r="C357" s="1" t="s">
        <v>38</v>
      </c>
      <c r="D357" s="1">
        <v>-140</v>
      </c>
      <c r="E357" s="1" t="s">
        <v>39</v>
      </c>
      <c r="F357" s="4" t="str">
        <f>IF(OR(ISNUMBER(SEARCH("Tajeta", C357)), ISNUMBER(SEARCH("tarj", C357))), "Card", "")</f>
        <v>Card</v>
      </c>
      <c r="G357" s="1" t="s">
        <v>31</v>
      </c>
    </row>
    <row r="358" spans="1:7" ht="13">
      <c r="A358" s="1" t="s">
        <v>424</v>
      </c>
      <c r="B358" s="2">
        <f t="shared" si="26"/>
        <v>46101</v>
      </c>
      <c r="C358" s="1" t="s">
        <v>425</v>
      </c>
      <c r="D358" s="5">
        <v>-1076</v>
      </c>
      <c r="E358" s="1" t="s">
        <v>48</v>
      </c>
      <c r="F358" s="4" t="s">
        <v>49</v>
      </c>
      <c r="G358" s="4" t="s">
        <v>31</v>
      </c>
    </row>
    <row r="359" spans="1:7" ht="13">
      <c r="A359" s="1" t="s">
        <v>426</v>
      </c>
      <c r="B359" s="2">
        <f t="shared" si="26"/>
        <v>46104</v>
      </c>
      <c r="C359" s="1" t="s">
        <v>427</v>
      </c>
      <c r="D359" s="1">
        <v>-386.98</v>
      </c>
      <c r="E359" s="1" t="s">
        <v>226</v>
      </c>
      <c r="F359" s="4" t="str">
        <f t="shared" ref="F359:F370" si="41">IF(OR(ISNUMBER(SEARCH("Tajeta", C359)), ISNUMBER(SEARCH("tarj", C359))), "Card", "")</f>
        <v>Card</v>
      </c>
      <c r="G359" s="1" t="s">
        <v>31</v>
      </c>
    </row>
    <row r="360" spans="1:7" ht="13">
      <c r="A360" s="1" t="s">
        <v>426</v>
      </c>
      <c r="B360" s="2">
        <f t="shared" si="26"/>
        <v>46104</v>
      </c>
      <c r="C360" s="1" t="s">
        <v>428</v>
      </c>
      <c r="D360" s="1">
        <v>-126.98</v>
      </c>
      <c r="E360" s="1" t="s">
        <v>226</v>
      </c>
      <c r="F360" s="4" t="str">
        <f t="shared" si="41"/>
        <v>Card</v>
      </c>
      <c r="G360" s="1" t="s">
        <v>31</v>
      </c>
    </row>
    <row r="361" spans="1:7" ht="13">
      <c r="A361" s="1" t="s">
        <v>426</v>
      </c>
      <c r="B361" s="2">
        <f t="shared" si="26"/>
        <v>46104</v>
      </c>
      <c r="C361" s="1" t="s">
        <v>429</v>
      </c>
      <c r="D361" s="1">
        <v>-120.93</v>
      </c>
      <c r="E361" s="1" t="s">
        <v>226</v>
      </c>
      <c r="F361" s="4" t="str">
        <f t="shared" si="41"/>
        <v>Card</v>
      </c>
      <c r="G361" s="1" t="s">
        <v>31</v>
      </c>
    </row>
    <row r="362" spans="1:7" ht="13">
      <c r="A362" s="1" t="s">
        <v>426</v>
      </c>
      <c r="B362" s="2">
        <f t="shared" si="26"/>
        <v>46104</v>
      </c>
      <c r="C362" s="1" t="s">
        <v>430</v>
      </c>
      <c r="D362" s="1">
        <v>-114.89</v>
      </c>
      <c r="E362" s="1" t="s">
        <v>226</v>
      </c>
      <c r="F362" s="4" t="str">
        <f t="shared" si="41"/>
        <v>Card</v>
      </c>
      <c r="G362" s="1" t="s">
        <v>31</v>
      </c>
    </row>
    <row r="363" spans="1:7" ht="13">
      <c r="A363" s="1" t="s">
        <v>426</v>
      </c>
      <c r="B363" s="2">
        <f t="shared" si="26"/>
        <v>46104</v>
      </c>
      <c r="C363" s="1" t="s">
        <v>415</v>
      </c>
      <c r="D363" s="1">
        <v>-54.41</v>
      </c>
      <c r="E363" s="1" t="s">
        <v>226</v>
      </c>
      <c r="F363" s="4" t="str">
        <f t="shared" si="41"/>
        <v>Card</v>
      </c>
      <c r="G363" s="1" t="s">
        <v>31</v>
      </c>
    </row>
    <row r="364" spans="1:7" ht="13">
      <c r="A364" s="1" t="s">
        <v>426</v>
      </c>
      <c r="B364" s="2">
        <f t="shared" si="26"/>
        <v>46104</v>
      </c>
      <c r="C364" s="1" t="s">
        <v>415</v>
      </c>
      <c r="D364" s="1">
        <v>-54.41</v>
      </c>
      <c r="E364" s="1" t="s">
        <v>226</v>
      </c>
      <c r="F364" s="4" t="str">
        <f t="shared" si="41"/>
        <v>Card</v>
      </c>
      <c r="G364" s="1" t="s">
        <v>31</v>
      </c>
    </row>
    <row r="365" spans="1:7" ht="13">
      <c r="A365" s="1" t="s">
        <v>426</v>
      </c>
      <c r="B365" s="2">
        <f t="shared" si="26"/>
        <v>46104</v>
      </c>
      <c r="C365" s="1" t="s">
        <v>415</v>
      </c>
      <c r="D365" s="1">
        <v>-54.41</v>
      </c>
      <c r="E365" s="1" t="s">
        <v>226</v>
      </c>
      <c r="F365" s="4" t="str">
        <f t="shared" si="41"/>
        <v>Card</v>
      </c>
      <c r="G365" s="1" t="s">
        <v>31</v>
      </c>
    </row>
    <row r="366" spans="1:7" ht="13">
      <c r="A366" s="1" t="s">
        <v>426</v>
      </c>
      <c r="B366" s="2">
        <f t="shared" si="26"/>
        <v>46104</v>
      </c>
      <c r="C366" s="1" t="s">
        <v>415</v>
      </c>
      <c r="D366" s="1">
        <v>-54.41</v>
      </c>
      <c r="E366" s="1" t="s">
        <v>226</v>
      </c>
      <c r="F366" s="4" t="str">
        <f t="shared" si="41"/>
        <v>Card</v>
      </c>
      <c r="G366" s="1" t="s">
        <v>31</v>
      </c>
    </row>
    <row r="367" spans="1:7" ht="13">
      <c r="A367" s="1" t="s">
        <v>426</v>
      </c>
      <c r="B367" s="2">
        <f t="shared" si="26"/>
        <v>46104</v>
      </c>
      <c r="C367" s="1" t="s">
        <v>415</v>
      </c>
      <c r="D367" s="1">
        <v>-54.41</v>
      </c>
      <c r="E367" s="1" t="s">
        <v>226</v>
      </c>
      <c r="F367" s="4" t="str">
        <f t="shared" si="41"/>
        <v>Card</v>
      </c>
      <c r="G367" s="1" t="s">
        <v>31</v>
      </c>
    </row>
    <row r="368" spans="1:7" ht="13">
      <c r="A368" s="1" t="s">
        <v>426</v>
      </c>
      <c r="B368" s="2">
        <f t="shared" si="26"/>
        <v>46104</v>
      </c>
      <c r="C368" s="1" t="s">
        <v>415</v>
      </c>
      <c r="D368" s="1">
        <v>-54.41</v>
      </c>
      <c r="E368" s="1" t="s">
        <v>226</v>
      </c>
      <c r="F368" s="4" t="str">
        <f t="shared" si="41"/>
        <v>Card</v>
      </c>
      <c r="G368" s="1" t="s">
        <v>31</v>
      </c>
    </row>
    <row r="369" spans="1:7" ht="13">
      <c r="A369" s="1" t="s">
        <v>431</v>
      </c>
      <c r="B369" s="2">
        <f t="shared" si="26"/>
        <v>46106</v>
      </c>
      <c r="C369" s="1" t="s">
        <v>432</v>
      </c>
      <c r="D369" s="1">
        <v>-591.37</v>
      </c>
      <c r="E369" s="1" t="s">
        <v>226</v>
      </c>
      <c r="F369" s="4" t="str">
        <f t="shared" si="41"/>
        <v>Card</v>
      </c>
      <c r="G369" s="1" t="s">
        <v>31</v>
      </c>
    </row>
    <row r="370" spans="1:7" ht="13">
      <c r="A370" s="1" t="s">
        <v>431</v>
      </c>
      <c r="B370" s="2">
        <f t="shared" si="26"/>
        <v>46106</v>
      </c>
      <c r="C370" s="1" t="s">
        <v>433</v>
      </c>
      <c r="D370" s="1">
        <v>-265.51</v>
      </c>
      <c r="E370" s="1" t="s">
        <v>398</v>
      </c>
      <c r="F370" s="4" t="str">
        <f t="shared" si="41"/>
        <v>Card</v>
      </c>
      <c r="G370" s="1" t="s">
        <v>31</v>
      </c>
    </row>
    <row r="371" spans="1:7" ht="13">
      <c r="A371" s="1" t="s">
        <v>12</v>
      </c>
      <c r="B371" s="2">
        <f t="shared" si="26"/>
        <v>46107</v>
      </c>
      <c r="C371" s="1" t="s">
        <v>434</v>
      </c>
      <c r="D371" s="5">
        <v>-2035</v>
      </c>
      <c r="E371" s="1" t="s">
        <v>435</v>
      </c>
      <c r="F371" s="1" t="s">
        <v>172</v>
      </c>
      <c r="G371" s="1" t="s">
        <v>36</v>
      </c>
    </row>
    <row r="372" spans="1:7" ht="13">
      <c r="A372" s="1" t="s">
        <v>436</v>
      </c>
      <c r="B372" s="2">
        <f t="shared" si="26"/>
        <v>46108</v>
      </c>
      <c r="C372" s="1" t="s">
        <v>437</v>
      </c>
      <c r="D372" s="1">
        <v>-197.81</v>
      </c>
      <c r="E372" s="1" t="s">
        <v>226</v>
      </c>
      <c r="F372" s="4" t="str">
        <f t="shared" ref="F372:F383" si="42">IF(OR(ISNUMBER(SEARCH("Tajeta", C372)), ISNUMBER(SEARCH("tarj", C372))), "Card", "")</f>
        <v>Card</v>
      </c>
      <c r="G372" s="1" t="s">
        <v>31</v>
      </c>
    </row>
    <row r="373" spans="1:7" ht="13">
      <c r="A373" s="1" t="s">
        <v>438</v>
      </c>
      <c r="B373" s="2">
        <f t="shared" si="26"/>
        <v>46111</v>
      </c>
      <c r="C373" s="1" t="s">
        <v>439</v>
      </c>
      <c r="D373" s="1">
        <v>-235.12</v>
      </c>
      <c r="E373" s="1" t="s">
        <v>226</v>
      </c>
      <c r="F373" s="4" t="str">
        <f t="shared" si="42"/>
        <v>Card</v>
      </c>
      <c r="G373" s="1" t="s">
        <v>31</v>
      </c>
    </row>
    <row r="374" spans="1:7" ht="13">
      <c r="A374" s="1" t="s">
        <v>438</v>
      </c>
      <c r="B374" s="2">
        <f t="shared" si="26"/>
        <v>46111</v>
      </c>
      <c r="C374" s="1" t="s">
        <v>439</v>
      </c>
      <c r="D374" s="1">
        <v>-235.12</v>
      </c>
      <c r="E374" s="1" t="s">
        <v>226</v>
      </c>
      <c r="F374" s="4" t="str">
        <f t="shared" si="42"/>
        <v>Card</v>
      </c>
      <c r="G374" s="1" t="s">
        <v>31</v>
      </c>
    </row>
    <row r="375" spans="1:7" ht="13">
      <c r="A375" s="1" t="s">
        <v>438</v>
      </c>
      <c r="B375" s="2">
        <f t="shared" si="26"/>
        <v>46111</v>
      </c>
      <c r="C375" s="1" t="s">
        <v>440</v>
      </c>
      <c r="D375" s="1">
        <v>-217.03</v>
      </c>
      <c r="E375" s="1" t="s">
        <v>226</v>
      </c>
      <c r="F375" s="4" t="str">
        <f t="shared" si="42"/>
        <v>Card</v>
      </c>
      <c r="G375" s="1" t="s">
        <v>31</v>
      </c>
    </row>
    <row r="376" spans="1:7" ht="13">
      <c r="A376" s="1" t="s">
        <v>438</v>
      </c>
      <c r="B376" s="2">
        <f t="shared" si="26"/>
        <v>46111</v>
      </c>
      <c r="C376" s="1" t="s">
        <v>441</v>
      </c>
      <c r="D376" s="1">
        <v>-114.54</v>
      </c>
      <c r="E376" s="1" t="s">
        <v>226</v>
      </c>
      <c r="F376" s="4" t="str">
        <f t="shared" si="42"/>
        <v>Card</v>
      </c>
      <c r="G376" s="1" t="s">
        <v>31</v>
      </c>
    </row>
    <row r="377" spans="1:7" ht="13">
      <c r="A377" s="1" t="s">
        <v>438</v>
      </c>
      <c r="B377" s="2">
        <f t="shared" si="26"/>
        <v>46111</v>
      </c>
      <c r="C377" s="1" t="s">
        <v>441</v>
      </c>
      <c r="D377" s="1">
        <v>-114.54</v>
      </c>
      <c r="E377" s="1" t="s">
        <v>226</v>
      </c>
      <c r="F377" s="4" t="str">
        <f t="shared" si="42"/>
        <v>Card</v>
      </c>
      <c r="G377" s="1" t="s">
        <v>31</v>
      </c>
    </row>
    <row r="378" spans="1:7" ht="13">
      <c r="A378" s="1" t="s">
        <v>13</v>
      </c>
      <c r="B378" s="2">
        <f t="shared" si="26"/>
        <v>46112</v>
      </c>
      <c r="C378" s="1" t="s">
        <v>442</v>
      </c>
      <c r="D378" s="1">
        <v>-595.20000000000005</v>
      </c>
      <c r="E378" s="1" t="s">
        <v>226</v>
      </c>
      <c r="F378" s="4" t="str">
        <f t="shared" si="42"/>
        <v>Card</v>
      </c>
      <c r="G378" s="1" t="s">
        <v>31</v>
      </c>
    </row>
    <row r="379" spans="1:7" ht="13">
      <c r="A379" s="1" t="s">
        <v>13</v>
      </c>
      <c r="B379" s="2">
        <f t="shared" si="26"/>
        <v>46112</v>
      </c>
      <c r="C379" s="1" t="s">
        <v>443</v>
      </c>
      <c r="D379" s="1">
        <v>-150.31</v>
      </c>
      <c r="E379" s="1" t="s">
        <v>226</v>
      </c>
      <c r="F379" s="4" t="str">
        <f t="shared" si="42"/>
        <v>Card</v>
      </c>
      <c r="G379" s="1" t="s">
        <v>31</v>
      </c>
    </row>
    <row r="380" spans="1:7" ht="13">
      <c r="A380" s="1" t="s">
        <v>13</v>
      </c>
      <c r="B380" s="2">
        <f t="shared" si="26"/>
        <v>46112</v>
      </c>
      <c r="C380" s="1" t="s">
        <v>137</v>
      </c>
      <c r="D380" s="1">
        <v>-70</v>
      </c>
      <c r="E380" s="1" t="s">
        <v>138</v>
      </c>
      <c r="F380" s="4" t="str">
        <f t="shared" si="42"/>
        <v>Card</v>
      </c>
      <c r="G380" s="1" t="s">
        <v>31</v>
      </c>
    </row>
    <row r="381" spans="1:7" ht="13">
      <c r="A381" s="1" t="s">
        <v>13</v>
      </c>
      <c r="B381" s="2">
        <f t="shared" si="26"/>
        <v>46112</v>
      </c>
      <c r="C381" s="1" t="s">
        <v>444</v>
      </c>
      <c r="D381" s="1">
        <v>-50</v>
      </c>
      <c r="E381" s="1" t="s">
        <v>445</v>
      </c>
      <c r="F381" s="4" t="str">
        <f t="shared" si="42"/>
        <v>Card</v>
      </c>
      <c r="G381" s="1" t="s">
        <v>31</v>
      </c>
    </row>
    <row r="382" spans="1:7" ht="13">
      <c r="A382" s="3">
        <v>46026</v>
      </c>
      <c r="B382" s="2">
        <f t="shared" si="26"/>
        <v>1507799</v>
      </c>
      <c r="C382" s="1" t="s">
        <v>338</v>
      </c>
      <c r="D382" s="1">
        <v>-145.80000000000001</v>
      </c>
      <c r="E382" s="1" t="s">
        <v>446</v>
      </c>
      <c r="F382" s="4" t="str">
        <f t="shared" si="42"/>
        <v>Card</v>
      </c>
      <c r="G382" s="1" t="s">
        <v>36</v>
      </c>
    </row>
    <row r="383" spans="1:7" ht="13">
      <c r="A383" s="3">
        <v>46026</v>
      </c>
      <c r="B383" s="2">
        <f t="shared" si="26"/>
        <v>1507799</v>
      </c>
      <c r="C383" s="1" t="s">
        <v>80</v>
      </c>
      <c r="D383" s="1">
        <v>-54.03</v>
      </c>
      <c r="E383" s="1" t="s">
        <v>447</v>
      </c>
      <c r="F383" s="4" t="str">
        <f t="shared" si="42"/>
        <v>Card</v>
      </c>
      <c r="G383" s="1" t="s">
        <v>31</v>
      </c>
    </row>
    <row r="384" spans="1:7" ht="13">
      <c r="A384" s="3">
        <v>46057</v>
      </c>
      <c r="B384" s="2">
        <f t="shared" si="26"/>
        <v>1520065</v>
      </c>
      <c r="C384" s="1" t="s">
        <v>448</v>
      </c>
      <c r="D384" s="1">
        <v>-830</v>
      </c>
      <c r="E384" s="1" t="s">
        <v>391</v>
      </c>
      <c r="F384" s="4" t="s">
        <v>49</v>
      </c>
      <c r="G384" s="4" t="s">
        <v>31</v>
      </c>
    </row>
    <row r="385" spans="1:7" ht="13">
      <c r="A385" s="3">
        <v>46057</v>
      </c>
      <c r="B385" s="2">
        <f t="shared" si="26"/>
        <v>1520065</v>
      </c>
      <c r="C385" s="1" t="s">
        <v>449</v>
      </c>
      <c r="D385" s="1">
        <v>-466.83</v>
      </c>
      <c r="E385" s="1" t="s">
        <v>226</v>
      </c>
      <c r="F385" s="4" t="str">
        <f t="shared" ref="F385:F387" si="43">IF(OR(ISNUMBER(SEARCH("Tajeta", C385)), ISNUMBER(SEARCH("tarj", C385))), "Card", "")</f>
        <v>Card</v>
      </c>
      <c r="G385" s="1" t="s">
        <v>31</v>
      </c>
    </row>
    <row r="386" spans="1:7" ht="13">
      <c r="A386" s="3">
        <v>46057</v>
      </c>
      <c r="B386" s="2">
        <f t="shared" si="26"/>
        <v>1520065</v>
      </c>
      <c r="C386" s="1" t="s">
        <v>450</v>
      </c>
      <c r="D386" s="1">
        <v>-377.05</v>
      </c>
      <c r="E386" s="1" t="s">
        <v>398</v>
      </c>
      <c r="F386" s="4" t="str">
        <f t="shared" si="43"/>
        <v>Card</v>
      </c>
      <c r="G386" s="1" t="s">
        <v>31</v>
      </c>
    </row>
    <row r="387" spans="1:7" ht="13">
      <c r="A387" s="3">
        <v>46057</v>
      </c>
      <c r="B387" s="2">
        <f t="shared" si="26"/>
        <v>1520065</v>
      </c>
      <c r="C387" s="1" t="s">
        <v>38</v>
      </c>
      <c r="D387" s="1">
        <v>-196</v>
      </c>
      <c r="E387" s="1" t="s">
        <v>39</v>
      </c>
      <c r="F387" s="4" t="str">
        <f t="shared" si="43"/>
        <v>Card</v>
      </c>
      <c r="G387" s="1" t="s">
        <v>31</v>
      </c>
    </row>
    <row r="388" spans="1:7" ht="13">
      <c r="A388" s="3">
        <v>46057</v>
      </c>
      <c r="B388" s="2">
        <f t="shared" si="26"/>
        <v>1520065</v>
      </c>
      <c r="C388" s="1" t="s">
        <v>451</v>
      </c>
      <c r="D388" s="1">
        <v>-170</v>
      </c>
      <c r="E388" s="1" t="s">
        <v>132</v>
      </c>
      <c r="F388" s="4" t="s">
        <v>49</v>
      </c>
      <c r="G388" s="4" t="s">
        <v>31</v>
      </c>
    </row>
    <row r="389" spans="1:7" ht="13">
      <c r="A389" s="3">
        <v>46057</v>
      </c>
      <c r="B389" s="2">
        <f t="shared" si="26"/>
        <v>1520065</v>
      </c>
      <c r="C389" s="1" t="s">
        <v>290</v>
      </c>
      <c r="D389" s="1">
        <v>-15.75</v>
      </c>
      <c r="E389" s="1" t="s">
        <v>153</v>
      </c>
      <c r="F389" s="4" t="str">
        <f t="shared" ref="F389:F402" si="44">IF(OR(ISNUMBER(SEARCH("Tajeta", C389)), ISNUMBER(SEARCH("tarj", C389))), "Card", "")</f>
        <v>Card</v>
      </c>
      <c r="G389" s="1" t="s">
        <v>36</v>
      </c>
    </row>
    <row r="390" spans="1:7" ht="13">
      <c r="A390" s="3">
        <v>46177</v>
      </c>
      <c r="B390" s="2">
        <f t="shared" si="26"/>
        <v>1564501</v>
      </c>
      <c r="C390" s="1" t="s">
        <v>387</v>
      </c>
      <c r="D390" s="1">
        <v>-53.87</v>
      </c>
      <c r="E390" s="1" t="s">
        <v>226</v>
      </c>
      <c r="F390" s="4" t="str">
        <f t="shared" si="44"/>
        <v>Card</v>
      </c>
      <c r="G390" s="1" t="s">
        <v>31</v>
      </c>
    </row>
    <row r="391" spans="1:7" ht="13">
      <c r="A391" s="3">
        <v>46207</v>
      </c>
      <c r="B391" s="2">
        <f t="shared" si="26"/>
        <v>1573327</v>
      </c>
      <c r="C391" s="1" t="s">
        <v>82</v>
      </c>
      <c r="D391" s="1">
        <v>-12.61</v>
      </c>
      <c r="E391" s="1" t="s">
        <v>83</v>
      </c>
      <c r="F391" s="4" t="str">
        <f t="shared" si="44"/>
        <v>Card</v>
      </c>
      <c r="G391" s="1" t="s">
        <v>36</v>
      </c>
    </row>
    <row r="392" spans="1:7" ht="13">
      <c r="A392" s="3">
        <v>46238</v>
      </c>
      <c r="B392" s="2">
        <f t="shared" si="26"/>
        <v>1585596</v>
      </c>
      <c r="C392" s="1" t="s">
        <v>38</v>
      </c>
      <c r="D392" s="1">
        <v>-140</v>
      </c>
      <c r="E392" s="1" t="s">
        <v>39</v>
      </c>
      <c r="F392" s="4" t="str">
        <f t="shared" si="44"/>
        <v>Card</v>
      </c>
      <c r="G392" s="1" t="s">
        <v>31</v>
      </c>
    </row>
    <row r="393" spans="1:7" ht="13">
      <c r="A393" s="3">
        <v>46238</v>
      </c>
      <c r="B393" s="2">
        <f t="shared" si="26"/>
        <v>1585596</v>
      </c>
      <c r="C393" s="1" t="s">
        <v>137</v>
      </c>
      <c r="D393" s="1">
        <v>-70</v>
      </c>
      <c r="E393" s="1" t="s">
        <v>138</v>
      </c>
      <c r="F393" s="4" t="str">
        <f t="shared" si="44"/>
        <v>Card</v>
      </c>
      <c r="G393" s="1" t="s">
        <v>31</v>
      </c>
    </row>
    <row r="394" spans="1:7" ht="13">
      <c r="A394" s="1" t="s">
        <v>452</v>
      </c>
      <c r="B394" s="2">
        <f t="shared" si="26"/>
        <v>46125</v>
      </c>
      <c r="C394" s="1" t="s">
        <v>444</v>
      </c>
      <c r="D394" s="1">
        <v>-100</v>
      </c>
      <c r="E394" s="1" t="s">
        <v>453</v>
      </c>
      <c r="F394" s="4" t="str">
        <f t="shared" si="44"/>
        <v>Card</v>
      </c>
      <c r="G394" s="1" t="s">
        <v>31</v>
      </c>
    </row>
    <row r="395" spans="1:7" ht="13">
      <c r="A395" s="1" t="s">
        <v>454</v>
      </c>
      <c r="B395" s="2">
        <f t="shared" si="26"/>
        <v>46126</v>
      </c>
      <c r="C395" s="1" t="s">
        <v>455</v>
      </c>
      <c r="D395" s="1">
        <v>-65</v>
      </c>
      <c r="E395" s="1">
        <v>365</v>
      </c>
      <c r="F395" s="4" t="str">
        <f t="shared" si="44"/>
        <v>Card</v>
      </c>
      <c r="G395" s="1" t="s">
        <v>31</v>
      </c>
    </row>
    <row r="396" spans="1:7" ht="13">
      <c r="A396" s="1" t="s">
        <v>14</v>
      </c>
      <c r="B396" s="2">
        <f t="shared" si="26"/>
        <v>46129</v>
      </c>
      <c r="C396" s="1" t="s">
        <v>38</v>
      </c>
      <c r="D396" s="1">
        <v>-112</v>
      </c>
      <c r="E396" s="1" t="s">
        <v>39</v>
      </c>
      <c r="F396" s="4" t="str">
        <f t="shared" si="44"/>
        <v>Card</v>
      </c>
      <c r="G396" s="1" t="s">
        <v>31</v>
      </c>
    </row>
    <row r="397" spans="1:7" ht="13">
      <c r="A397" s="1" t="s">
        <v>456</v>
      </c>
      <c r="B397" s="2">
        <f t="shared" si="26"/>
        <v>46132</v>
      </c>
      <c r="C397" s="1" t="s">
        <v>457</v>
      </c>
      <c r="D397" s="1">
        <v>-599.01</v>
      </c>
      <c r="E397" s="1" t="s">
        <v>226</v>
      </c>
      <c r="F397" s="4" t="str">
        <f t="shared" si="44"/>
        <v>Card</v>
      </c>
      <c r="G397" s="1" t="s">
        <v>31</v>
      </c>
    </row>
    <row r="398" spans="1:7" ht="13">
      <c r="A398" s="1" t="s">
        <v>456</v>
      </c>
      <c r="B398" s="2">
        <f t="shared" si="26"/>
        <v>46132</v>
      </c>
      <c r="C398" s="1" t="s">
        <v>458</v>
      </c>
      <c r="D398" s="1">
        <v>-593.02</v>
      </c>
      <c r="E398" s="1" t="s">
        <v>226</v>
      </c>
      <c r="F398" s="4" t="str">
        <f t="shared" si="44"/>
        <v>Card</v>
      </c>
      <c r="G398" s="1" t="s">
        <v>31</v>
      </c>
    </row>
    <row r="399" spans="1:7" ht="13">
      <c r="A399" s="1" t="s">
        <v>456</v>
      </c>
      <c r="B399" s="2">
        <f t="shared" si="26"/>
        <v>46132</v>
      </c>
      <c r="C399" s="1" t="s">
        <v>459</v>
      </c>
      <c r="D399" s="1">
        <v>-140</v>
      </c>
      <c r="E399" s="1" t="s">
        <v>39</v>
      </c>
      <c r="F399" s="4" t="str">
        <f t="shared" si="44"/>
        <v>Card</v>
      </c>
      <c r="G399" s="1" t="s">
        <v>31</v>
      </c>
    </row>
    <row r="400" spans="1:7" ht="13">
      <c r="A400" s="1" t="s">
        <v>460</v>
      </c>
      <c r="B400" s="2">
        <f t="shared" si="26"/>
        <v>46133</v>
      </c>
      <c r="C400" s="1" t="s">
        <v>461</v>
      </c>
      <c r="D400" s="1">
        <v>-593.22</v>
      </c>
      <c r="E400" s="1" t="s">
        <v>226</v>
      </c>
      <c r="F400" s="4" t="str">
        <f t="shared" si="44"/>
        <v>Card</v>
      </c>
      <c r="G400" s="1" t="s">
        <v>31</v>
      </c>
    </row>
    <row r="401" spans="1:19" ht="13">
      <c r="A401" s="1" t="s">
        <v>460</v>
      </c>
      <c r="B401" s="2">
        <f t="shared" si="26"/>
        <v>46133</v>
      </c>
      <c r="C401" s="1" t="s">
        <v>462</v>
      </c>
      <c r="D401" s="1">
        <v>-149.80000000000001</v>
      </c>
      <c r="E401" s="1" t="s">
        <v>226</v>
      </c>
      <c r="F401" s="4" t="str">
        <f t="shared" si="44"/>
        <v>Card</v>
      </c>
      <c r="G401" s="1" t="s">
        <v>31</v>
      </c>
    </row>
    <row r="402" spans="1:19" ht="13">
      <c r="A402" s="1" t="s">
        <v>463</v>
      </c>
      <c r="B402" s="2">
        <f t="shared" si="26"/>
        <v>46137</v>
      </c>
      <c r="C402" s="1" t="s">
        <v>417</v>
      </c>
      <c r="D402" s="1">
        <v>-40</v>
      </c>
      <c r="E402" s="1" t="s">
        <v>418</v>
      </c>
      <c r="F402" s="4" t="str">
        <f t="shared" si="44"/>
        <v>Card</v>
      </c>
      <c r="G402" s="1" t="s">
        <v>31</v>
      </c>
    </row>
    <row r="403" spans="1:19" ht="13">
      <c r="A403" s="1" t="s">
        <v>15</v>
      </c>
      <c r="B403" s="2">
        <f t="shared" si="26"/>
        <v>46139</v>
      </c>
      <c r="C403" s="1" t="s">
        <v>464</v>
      </c>
      <c r="D403" s="5">
        <v>-2500</v>
      </c>
      <c r="E403" s="1" t="s">
        <v>465</v>
      </c>
      <c r="F403" s="4" t="s">
        <v>35</v>
      </c>
      <c r="G403" s="1" t="s">
        <v>295</v>
      </c>
    </row>
    <row r="404" spans="1:19" ht="13">
      <c r="A404" s="1" t="s">
        <v>15</v>
      </c>
      <c r="B404" s="2">
        <f t="shared" si="26"/>
        <v>46139</v>
      </c>
      <c r="C404" s="1" t="s">
        <v>466</v>
      </c>
      <c r="D404" s="5">
        <v>-1535</v>
      </c>
      <c r="E404" s="1" t="s">
        <v>467</v>
      </c>
      <c r="F404" s="1" t="s">
        <v>172</v>
      </c>
      <c r="G404" s="1" t="s">
        <v>36</v>
      </c>
    </row>
    <row r="405" spans="1:19" ht="13">
      <c r="A405" s="1" t="s">
        <v>15</v>
      </c>
      <c r="B405" s="2">
        <f t="shared" si="26"/>
        <v>46139</v>
      </c>
      <c r="C405" s="1" t="s">
        <v>137</v>
      </c>
      <c r="D405" s="1">
        <v>-70</v>
      </c>
      <c r="E405" s="1" t="s">
        <v>138</v>
      </c>
      <c r="F405" s="4" t="str">
        <f t="shared" ref="F405:F410" si="45">IF(OR(ISNUMBER(SEARCH("Tajeta", C405)), ISNUMBER(SEARCH("tarj", C405))), "Card", "")</f>
        <v>Card</v>
      </c>
      <c r="G405" s="1" t="s">
        <v>31</v>
      </c>
    </row>
    <row r="406" spans="1:19" ht="13">
      <c r="A406" s="1" t="s">
        <v>16</v>
      </c>
      <c r="B406" s="2">
        <f t="shared" si="26"/>
        <v>46142</v>
      </c>
      <c r="C406" s="1" t="s">
        <v>468</v>
      </c>
      <c r="D406" s="1">
        <v>-150</v>
      </c>
      <c r="E406" s="1" t="s">
        <v>348</v>
      </c>
      <c r="F406" s="4" t="str">
        <f t="shared" si="45"/>
        <v>Card</v>
      </c>
      <c r="G406" s="1" t="s">
        <v>31</v>
      </c>
    </row>
    <row r="407" spans="1:19" ht="13">
      <c r="A407" s="3">
        <v>46027</v>
      </c>
      <c r="B407" s="2">
        <f t="shared" si="26"/>
        <v>1508193</v>
      </c>
      <c r="C407" s="1" t="s">
        <v>239</v>
      </c>
      <c r="D407" s="1">
        <v>-145.80000000000001</v>
      </c>
      <c r="E407" s="1" t="s">
        <v>153</v>
      </c>
      <c r="F407" s="4" t="str">
        <f t="shared" si="45"/>
        <v>Card</v>
      </c>
      <c r="G407" s="1" t="s">
        <v>36</v>
      </c>
    </row>
    <row r="408" spans="1:19" ht="13">
      <c r="A408" s="3">
        <v>46027</v>
      </c>
      <c r="B408" s="2">
        <f t="shared" si="26"/>
        <v>1508193</v>
      </c>
      <c r="C408" s="1" t="s">
        <v>290</v>
      </c>
      <c r="D408" s="1">
        <v>-19.16</v>
      </c>
      <c r="E408" s="1" t="s">
        <v>153</v>
      </c>
      <c r="F408" s="4" t="str">
        <f t="shared" si="45"/>
        <v>Card</v>
      </c>
      <c r="G408" s="1" t="s">
        <v>36</v>
      </c>
    </row>
    <row r="409" spans="1:19" ht="13">
      <c r="A409" s="3">
        <v>46117</v>
      </c>
      <c r="B409" s="2">
        <f t="shared" si="26"/>
        <v>1540760</v>
      </c>
      <c r="C409" s="1" t="s">
        <v>469</v>
      </c>
      <c r="D409" s="1">
        <v>-83.5</v>
      </c>
      <c r="E409" s="1" t="s">
        <v>470</v>
      </c>
      <c r="F409" s="4" t="str">
        <f t="shared" si="45"/>
        <v>Card</v>
      </c>
      <c r="G409" s="1" t="s">
        <v>31</v>
      </c>
    </row>
    <row r="410" spans="1:19" ht="13">
      <c r="A410" s="3">
        <v>46239</v>
      </c>
      <c r="B410" s="2">
        <f t="shared" si="26"/>
        <v>1585989</v>
      </c>
      <c r="C410" s="1" t="s">
        <v>137</v>
      </c>
      <c r="D410" s="1">
        <v>-80</v>
      </c>
      <c r="E410" s="1" t="s">
        <v>138</v>
      </c>
      <c r="F410" s="4" t="str">
        <f t="shared" si="45"/>
        <v>Card</v>
      </c>
      <c r="G410" s="1" t="s">
        <v>31</v>
      </c>
    </row>
    <row r="411" spans="1:19" ht="13">
      <c r="A411" s="3">
        <v>46331</v>
      </c>
      <c r="B411" s="2">
        <f t="shared" si="26"/>
        <v>1619348</v>
      </c>
      <c r="C411" s="1" t="s">
        <v>471</v>
      </c>
      <c r="D411" s="5">
        <v>-3036</v>
      </c>
      <c r="E411" s="1" t="s">
        <v>472</v>
      </c>
      <c r="F411" s="1" t="s">
        <v>172</v>
      </c>
      <c r="G411" s="1" t="s">
        <v>36</v>
      </c>
    </row>
    <row r="412" spans="1:19" ht="13">
      <c r="A412" s="3">
        <v>46331</v>
      </c>
      <c r="B412" s="2">
        <f t="shared" si="26"/>
        <v>1619348</v>
      </c>
      <c r="C412" s="1" t="s">
        <v>137</v>
      </c>
      <c r="D412" s="1">
        <v>-80</v>
      </c>
      <c r="E412" s="1" t="s">
        <v>138</v>
      </c>
      <c r="F412" s="4" t="str">
        <f t="shared" ref="F412:F413" si="46">IF(OR(ISNUMBER(SEARCH("Tajeta", C412)), ISNUMBER(SEARCH("tarj", C412))), "Card", "")</f>
        <v>Card</v>
      </c>
      <c r="G412" s="1" t="s">
        <v>31</v>
      </c>
    </row>
    <row r="413" spans="1:19" ht="13">
      <c r="A413" s="3">
        <v>46361</v>
      </c>
      <c r="B413" s="2">
        <f t="shared" si="26"/>
        <v>1631220</v>
      </c>
      <c r="C413" s="1" t="s">
        <v>473</v>
      </c>
      <c r="D413" s="1">
        <v>-150.93</v>
      </c>
      <c r="E413" s="1" t="s">
        <v>226</v>
      </c>
      <c r="F413" s="4" t="str">
        <f t="shared" si="46"/>
        <v>Card</v>
      </c>
      <c r="G413" s="1" t="s">
        <v>31</v>
      </c>
    </row>
    <row r="414" spans="1:19" ht="13">
      <c r="A414" s="8" t="s">
        <v>474</v>
      </c>
      <c r="B414" s="9">
        <f t="shared" si="26"/>
        <v>46155</v>
      </c>
      <c r="C414" s="8" t="s">
        <v>475</v>
      </c>
      <c r="D414" s="10">
        <v>-1367.21</v>
      </c>
      <c r="E414" s="8" t="s">
        <v>476</v>
      </c>
      <c r="F414" s="8" t="s">
        <v>35</v>
      </c>
      <c r="G414" s="1" t="s">
        <v>31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 spans="1:19" ht="13">
      <c r="A415" s="1" t="s">
        <v>474</v>
      </c>
      <c r="B415" s="2">
        <f t="shared" si="26"/>
        <v>46155</v>
      </c>
      <c r="C415" s="1" t="s">
        <v>477</v>
      </c>
      <c r="D415" s="1">
        <v>-320</v>
      </c>
      <c r="E415" s="1" t="s">
        <v>478</v>
      </c>
      <c r="F415" s="4" t="s">
        <v>49</v>
      </c>
      <c r="G415" s="4" t="s">
        <v>31</v>
      </c>
    </row>
    <row r="416" spans="1:19" ht="13">
      <c r="A416" s="1" t="s">
        <v>17</v>
      </c>
      <c r="B416" s="2">
        <f t="shared" si="26"/>
        <v>46156</v>
      </c>
      <c r="C416" s="1" t="s">
        <v>479</v>
      </c>
      <c r="D416" s="5">
        <v>-3178.63</v>
      </c>
      <c r="E416" s="1" t="s">
        <v>480</v>
      </c>
      <c r="F416" s="1" t="s">
        <v>480</v>
      </c>
      <c r="G416" s="1" t="s">
        <v>36</v>
      </c>
      <c r="H416" s="1" t="s">
        <v>481</v>
      </c>
    </row>
    <row r="417" spans="1:8" ht="13">
      <c r="A417" s="1" t="s">
        <v>17</v>
      </c>
      <c r="B417" s="2">
        <f t="shared" si="26"/>
        <v>46156</v>
      </c>
      <c r="C417" s="1" t="s">
        <v>482</v>
      </c>
      <c r="D417" s="1">
        <v>-660</v>
      </c>
      <c r="E417" s="1" t="s">
        <v>88</v>
      </c>
      <c r="F417" s="4" t="s">
        <v>49</v>
      </c>
      <c r="G417" s="4" t="s">
        <v>31</v>
      </c>
    </row>
    <row r="418" spans="1:8" ht="13">
      <c r="A418" s="1" t="s">
        <v>17</v>
      </c>
      <c r="B418" s="2">
        <f t="shared" si="26"/>
        <v>46156</v>
      </c>
      <c r="C418" s="1" t="s">
        <v>459</v>
      </c>
      <c r="D418" s="1">
        <v>-98</v>
      </c>
      <c r="E418" s="1" t="s">
        <v>39</v>
      </c>
      <c r="F418" s="4" t="str">
        <f t="shared" ref="F418:F419" si="47">IF(OR(ISNUMBER(SEARCH("Tajeta", C418)), ISNUMBER(SEARCH("tarj", C418))), "Card", "")</f>
        <v>Card</v>
      </c>
      <c r="G418" s="1" t="s">
        <v>31</v>
      </c>
    </row>
    <row r="419" spans="1:8" ht="13">
      <c r="A419" s="1" t="s">
        <v>17</v>
      </c>
      <c r="B419" s="2">
        <f t="shared" si="26"/>
        <v>46156</v>
      </c>
      <c r="C419" s="1" t="s">
        <v>335</v>
      </c>
      <c r="D419" s="1">
        <v>-58.5</v>
      </c>
      <c r="E419" s="1" t="s">
        <v>483</v>
      </c>
      <c r="F419" s="4" t="str">
        <f t="shared" si="47"/>
        <v>Card</v>
      </c>
      <c r="G419" s="1" t="s">
        <v>31</v>
      </c>
    </row>
    <row r="420" spans="1:8" ht="13">
      <c r="A420" s="1" t="s">
        <v>484</v>
      </c>
      <c r="B420" s="2">
        <f t="shared" si="26"/>
        <v>46161</v>
      </c>
      <c r="C420" s="1" t="s">
        <v>485</v>
      </c>
      <c r="D420" s="1">
        <v>-405</v>
      </c>
      <c r="E420" s="1">
        <v>247</v>
      </c>
      <c r="F420" s="4" t="s">
        <v>49</v>
      </c>
      <c r="G420" s="4" t="s">
        <v>31</v>
      </c>
    </row>
    <row r="421" spans="1:8" ht="13">
      <c r="A421" s="1" t="s">
        <v>486</v>
      </c>
      <c r="B421" s="2">
        <f t="shared" si="26"/>
        <v>46168</v>
      </c>
      <c r="C421" s="1" t="s">
        <v>487</v>
      </c>
      <c r="D421" s="1">
        <v>-570</v>
      </c>
      <c r="E421" s="1" t="s">
        <v>269</v>
      </c>
      <c r="F421" s="4" t="s">
        <v>49</v>
      </c>
      <c r="G421" s="4" t="s">
        <v>31</v>
      </c>
    </row>
    <row r="422" spans="1:8" ht="13">
      <c r="A422" s="3">
        <v>46059</v>
      </c>
      <c r="B422" s="2">
        <f t="shared" si="26"/>
        <v>1520856</v>
      </c>
      <c r="C422" s="1" t="s">
        <v>488</v>
      </c>
      <c r="D422" s="5">
        <v>-1535</v>
      </c>
      <c r="E422" s="1" t="s">
        <v>489</v>
      </c>
      <c r="F422" s="1" t="s">
        <v>172</v>
      </c>
      <c r="G422" s="1" t="s">
        <v>36</v>
      </c>
    </row>
    <row r="423" spans="1:8" ht="13">
      <c r="A423" s="3">
        <v>46059</v>
      </c>
      <c r="B423" s="2">
        <f t="shared" si="26"/>
        <v>1520856</v>
      </c>
      <c r="C423" s="1" t="s">
        <v>490</v>
      </c>
      <c r="D423" s="1">
        <v>-150.77000000000001</v>
      </c>
      <c r="E423" s="1" t="s">
        <v>491</v>
      </c>
      <c r="F423" s="4" t="str">
        <f t="shared" ref="F423:F429" si="48">IF(OR(ISNUMBER(SEARCH("Tajeta", C423)), ISNUMBER(SEARCH("tarj", C423))), "Card", "")</f>
        <v>Card</v>
      </c>
      <c r="G423" s="1" t="s">
        <v>31</v>
      </c>
    </row>
    <row r="424" spans="1:8" ht="13">
      <c r="A424" s="3">
        <v>46118</v>
      </c>
      <c r="B424" s="2">
        <f t="shared" si="26"/>
        <v>1541156</v>
      </c>
      <c r="C424" s="1" t="s">
        <v>492</v>
      </c>
      <c r="D424" s="1">
        <v>-166.64</v>
      </c>
      <c r="E424" s="1" t="s">
        <v>336</v>
      </c>
      <c r="F424" s="4" t="str">
        <f t="shared" si="48"/>
        <v>Card</v>
      </c>
      <c r="G424" s="1" t="s">
        <v>31</v>
      </c>
    </row>
    <row r="425" spans="1:8" ht="13">
      <c r="A425" s="3">
        <v>46118</v>
      </c>
      <c r="B425" s="2">
        <f t="shared" si="26"/>
        <v>1541156</v>
      </c>
      <c r="C425" s="1" t="s">
        <v>493</v>
      </c>
      <c r="D425" s="1">
        <v>-59</v>
      </c>
      <c r="E425" s="1" t="s">
        <v>494</v>
      </c>
      <c r="F425" s="4" t="str">
        <f t="shared" si="48"/>
        <v>Card</v>
      </c>
      <c r="G425" s="1" t="s">
        <v>31</v>
      </c>
    </row>
    <row r="426" spans="1:8" ht="13">
      <c r="A426" s="3">
        <v>46118</v>
      </c>
      <c r="B426" s="2">
        <f t="shared" si="26"/>
        <v>1541156</v>
      </c>
      <c r="C426" s="1" t="s">
        <v>495</v>
      </c>
      <c r="D426" s="1">
        <v>-50</v>
      </c>
      <c r="E426" s="1">
        <v>365</v>
      </c>
      <c r="F426" s="4" t="str">
        <f t="shared" si="48"/>
        <v>Card</v>
      </c>
      <c r="G426" s="1" t="s">
        <v>31</v>
      </c>
    </row>
    <row r="427" spans="1:8" ht="13">
      <c r="A427" s="3">
        <v>46240</v>
      </c>
      <c r="B427" s="2">
        <f t="shared" si="26"/>
        <v>1586385</v>
      </c>
      <c r="C427" s="1" t="s">
        <v>496</v>
      </c>
      <c r="D427" s="1">
        <v>-50</v>
      </c>
      <c r="E427" s="1">
        <v>365</v>
      </c>
      <c r="F427" s="4" t="str">
        <f t="shared" si="48"/>
        <v>Card</v>
      </c>
      <c r="G427" s="1" t="s">
        <v>31</v>
      </c>
    </row>
    <row r="428" spans="1:8" ht="13">
      <c r="A428" s="3">
        <v>46271</v>
      </c>
      <c r="B428" s="2">
        <f t="shared" si="26"/>
        <v>1598653</v>
      </c>
      <c r="C428" s="1" t="s">
        <v>497</v>
      </c>
      <c r="D428" s="1">
        <v>-150</v>
      </c>
      <c r="E428" s="1" t="s">
        <v>498</v>
      </c>
      <c r="F428" s="4" t="str">
        <f t="shared" si="48"/>
        <v>Card</v>
      </c>
      <c r="G428" s="1" t="s">
        <v>31</v>
      </c>
    </row>
    <row r="429" spans="1:8" ht="13">
      <c r="A429" s="3">
        <v>46271</v>
      </c>
      <c r="B429" s="2">
        <f t="shared" si="26"/>
        <v>1598653</v>
      </c>
      <c r="C429" s="1" t="s">
        <v>499</v>
      </c>
      <c r="D429" s="1">
        <v>-61</v>
      </c>
      <c r="E429" s="1" t="s">
        <v>345</v>
      </c>
      <c r="F429" s="4" t="str">
        <f t="shared" si="48"/>
        <v>Card</v>
      </c>
      <c r="G429" s="1" t="s">
        <v>31</v>
      </c>
    </row>
    <row r="430" spans="1:8" ht="13">
      <c r="A430" s="1" t="s">
        <v>500</v>
      </c>
      <c r="B430" s="2">
        <f t="shared" ref="B430:B433" si="49">DATE(RIGHT(A430,4),MID(A430,4,2),LEFT(A430,2))</f>
        <v>46188</v>
      </c>
      <c r="C430" s="1" t="s">
        <v>501</v>
      </c>
      <c r="D430" s="5">
        <v>-3539.5</v>
      </c>
      <c r="E430" s="1" t="s">
        <v>502</v>
      </c>
      <c r="F430" s="1" t="s">
        <v>172</v>
      </c>
      <c r="G430" s="1" t="s">
        <v>36</v>
      </c>
      <c r="H430" s="1" t="s">
        <v>503</v>
      </c>
    </row>
    <row r="431" spans="1:8" ht="13">
      <c r="A431" s="11" t="s">
        <v>504</v>
      </c>
      <c r="B431" s="2">
        <f t="shared" si="49"/>
        <v>46190</v>
      </c>
      <c r="C431" s="1" t="s">
        <v>505</v>
      </c>
      <c r="D431" s="1">
        <v>-80.099999999999994</v>
      </c>
      <c r="E431" s="1" t="s">
        <v>506</v>
      </c>
      <c r="F431" s="4" t="str">
        <f t="shared" ref="F431:F433" si="50">IF(OR(ISNUMBER(SEARCH("Tajeta", C431)), ISNUMBER(SEARCH("tarj", C431))), "Card", "")</f>
        <v>Card</v>
      </c>
      <c r="G431" s="1" t="s">
        <v>31</v>
      </c>
    </row>
    <row r="432" spans="1:8" ht="13">
      <c r="A432" s="11" t="s">
        <v>500</v>
      </c>
      <c r="B432" s="2">
        <f t="shared" si="49"/>
        <v>46188</v>
      </c>
      <c r="C432" s="1" t="s">
        <v>507</v>
      </c>
      <c r="D432" s="1">
        <v>-80</v>
      </c>
      <c r="E432" s="1" t="s">
        <v>138</v>
      </c>
      <c r="F432" s="4" t="str">
        <f t="shared" si="50"/>
        <v>Card</v>
      </c>
      <c r="G432" s="1" t="s">
        <v>31</v>
      </c>
    </row>
    <row r="433" spans="1:7" ht="13">
      <c r="A433" s="11" t="s">
        <v>500</v>
      </c>
      <c r="B433" s="2">
        <f t="shared" si="49"/>
        <v>46188</v>
      </c>
      <c r="C433" s="1" t="s">
        <v>507</v>
      </c>
      <c r="D433" s="1">
        <v>-80</v>
      </c>
      <c r="E433" s="1" t="s">
        <v>138</v>
      </c>
      <c r="F433" s="4" t="str">
        <f t="shared" si="50"/>
        <v>Card</v>
      </c>
      <c r="G433" s="1" t="s">
        <v>31</v>
      </c>
    </row>
    <row r="434" spans="1:7" ht="13">
      <c r="B434" s="2"/>
    </row>
    <row r="435" spans="1:7" ht="13">
      <c r="B435" s="2"/>
    </row>
    <row r="436" spans="1:7" ht="13">
      <c r="B436" s="2"/>
    </row>
    <row r="437" spans="1:7" ht="13">
      <c r="B437" s="2"/>
    </row>
    <row r="438" spans="1:7" ht="13">
      <c r="B438" s="2"/>
    </row>
    <row r="439" spans="1:7" ht="13">
      <c r="B439" s="2"/>
    </row>
    <row r="440" spans="1:7" ht="13">
      <c r="B440" s="2"/>
    </row>
    <row r="441" spans="1:7" ht="13">
      <c r="B441" s="2"/>
    </row>
    <row r="442" spans="1:7" ht="13">
      <c r="B442" s="2"/>
    </row>
    <row r="443" spans="1:7" ht="13">
      <c r="B443" s="2"/>
    </row>
    <row r="444" spans="1:7" ht="13">
      <c r="B444" s="2"/>
    </row>
    <row r="445" spans="1:7" ht="13">
      <c r="B445" s="2"/>
    </row>
    <row r="446" spans="1:7" ht="13">
      <c r="B446" s="2"/>
    </row>
    <row r="447" spans="1:7" ht="13">
      <c r="B447" s="2"/>
    </row>
    <row r="448" spans="1:7" ht="13">
      <c r="B448" s="2"/>
    </row>
    <row r="449" spans="2:2" ht="13">
      <c r="B449" s="2"/>
    </row>
    <row r="450" spans="2:2" ht="13">
      <c r="B450" s="2"/>
    </row>
    <row r="451" spans="2:2" ht="13">
      <c r="B451" s="2"/>
    </row>
    <row r="452" spans="2:2" ht="13">
      <c r="B452" s="2"/>
    </row>
    <row r="453" spans="2:2" ht="13">
      <c r="B453" s="2"/>
    </row>
    <row r="454" spans="2:2" ht="13">
      <c r="B454" s="2"/>
    </row>
    <row r="455" spans="2:2" ht="13">
      <c r="B455" s="2"/>
    </row>
    <row r="456" spans="2:2" ht="13">
      <c r="B456" s="2"/>
    </row>
    <row r="457" spans="2:2" ht="13">
      <c r="B457" s="2"/>
    </row>
    <row r="458" spans="2:2" ht="13">
      <c r="B458" s="2"/>
    </row>
    <row r="459" spans="2:2" ht="13">
      <c r="B459" s="2"/>
    </row>
    <row r="460" spans="2:2" ht="13">
      <c r="B460" s="2"/>
    </row>
    <row r="461" spans="2:2" ht="13">
      <c r="B461" s="2"/>
    </row>
    <row r="462" spans="2:2" ht="13">
      <c r="B462" s="2"/>
    </row>
    <row r="463" spans="2:2" ht="13">
      <c r="B463" s="2"/>
    </row>
    <row r="464" spans="2:2" ht="13">
      <c r="B464" s="2"/>
    </row>
    <row r="465" spans="2:2" ht="13">
      <c r="B465" s="2"/>
    </row>
    <row r="466" spans="2:2" ht="13">
      <c r="B466" s="2"/>
    </row>
    <row r="467" spans="2:2" ht="13">
      <c r="B467" s="2"/>
    </row>
    <row r="468" spans="2:2" ht="13">
      <c r="B468" s="2"/>
    </row>
    <row r="469" spans="2:2" ht="13">
      <c r="B469" s="2"/>
    </row>
    <row r="470" spans="2:2" ht="13">
      <c r="B470" s="2"/>
    </row>
    <row r="471" spans="2:2" ht="13">
      <c r="B471" s="2"/>
    </row>
    <row r="472" spans="2:2" ht="13">
      <c r="B472" s="2"/>
    </row>
    <row r="473" spans="2:2" ht="13">
      <c r="B473" s="2"/>
    </row>
    <row r="474" spans="2:2" ht="13">
      <c r="B474" s="2"/>
    </row>
    <row r="475" spans="2:2" ht="13">
      <c r="B475" s="2"/>
    </row>
    <row r="476" spans="2:2" ht="13">
      <c r="B476" s="2"/>
    </row>
    <row r="477" spans="2:2" ht="13">
      <c r="B477" s="2"/>
    </row>
    <row r="478" spans="2:2" ht="13">
      <c r="B478" s="2"/>
    </row>
    <row r="479" spans="2:2" ht="13">
      <c r="B479" s="2"/>
    </row>
    <row r="480" spans="2:2" ht="13">
      <c r="B480" s="2"/>
    </row>
    <row r="481" spans="2:2" ht="13">
      <c r="B481" s="2"/>
    </row>
    <row r="482" spans="2:2" ht="13">
      <c r="B482" s="2"/>
    </row>
    <row r="483" spans="2:2" ht="13">
      <c r="B483" s="2"/>
    </row>
    <row r="484" spans="2:2" ht="13">
      <c r="B484" s="2"/>
    </row>
    <row r="485" spans="2:2" ht="13">
      <c r="B485" s="2"/>
    </row>
    <row r="486" spans="2:2" ht="13">
      <c r="B486" s="2"/>
    </row>
    <row r="487" spans="2:2" ht="13">
      <c r="B487" s="2"/>
    </row>
    <row r="488" spans="2:2" ht="13">
      <c r="B488" s="2"/>
    </row>
    <row r="489" spans="2:2" ht="13">
      <c r="B489" s="2"/>
    </row>
    <row r="490" spans="2:2" ht="13">
      <c r="B490" s="2"/>
    </row>
    <row r="491" spans="2:2" ht="13">
      <c r="B491" s="2"/>
    </row>
    <row r="492" spans="2:2" ht="13">
      <c r="B492" s="2"/>
    </row>
    <row r="493" spans="2:2" ht="13">
      <c r="B493" s="2"/>
    </row>
    <row r="494" spans="2:2" ht="13">
      <c r="B494" s="2"/>
    </row>
    <row r="495" spans="2:2" ht="13">
      <c r="B495" s="2"/>
    </row>
    <row r="496" spans="2:2" ht="13">
      <c r="B496" s="2"/>
    </row>
    <row r="497" spans="2:2" ht="13">
      <c r="B497" s="2"/>
    </row>
    <row r="498" spans="2:2" ht="13">
      <c r="B498" s="2"/>
    </row>
    <row r="499" spans="2:2" ht="13">
      <c r="B499" s="2"/>
    </row>
    <row r="500" spans="2:2" ht="13">
      <c r="B500" s="2"/>
    </row>
    <row r="501" spans="2:2" ht="13">
      <c r="B501" s="2"/>
    </row>
    <row r="502" spans="2:2" ht="13">
      <c r="B502" s="2"/>
    </row>
    <row r="503" spans="2:2" ht="13">
      <c r="B503" s="2"/>
    </row>
    <row r="504" spans="2:2" ht="13">
      <c r="B504" s="2"/>
    </row>
    <row r="505" spans="2:2" ht="13">
      <c r="B505" s="2"/>
    </row>
    <row r="506" spans="2:2" ht="13">
      <c r="B506" s="2"/>
    </row>
    <row r="507" spans="2:2" ht="13">
      <c r="B507" s="2"/>
    </row>
    <row r="508" spans="2:2" ht="13">
      <c r="B508" s="2"/>
    </row>
    <row r="509" spans="2:2" ht="13">
      <c r="B509" s="2"/>
    </row>
    <row r="510" spans="2:2" ht="13">
      <c r="B510" s="2"/>
    </row>
    <row r="511" spans="2:2" ht="13">
      <c r="B511" s="2"/>
    </row>
    <row r="512" spans="2:2" ht="13">
      <c r="B512" s="2"/>
    </row>
    <row r="513" spans="2:2" ht="13">
      <c r="B513" s="2"/>
    </row>
    <row r="514" spans="2:2" ht="13">
      <c r="B514" s="2"/>
    </row>
    <row r="515" spans="2:2" ht="13">
      <c r="B515" s="2"/>
    </row>
    <row r="516" spans="2:2" ht="13">
      <c r="B516" s="2"/>
    </row>
    <row r="517" spans="2:2" ht="13">
      <c r="B517" s="2"/>
    </row>
    <row r="518" spans="2:2" ht="13">
      <c r="B518" s="2"/>
    </row>
    <row r="519" spans="2:2" ht="13">
      <c r="B519" s="2"/>
    </row>
    <row r="520" spans="2:2" ht="13">
      <c r="B520" s="2"/>
    </row>
    <row r="521" spans="2:2" ht="13">
      <c r="B521" s="2"/>
    </row>
    <row r="522" spans="2:2" ht="13">
      <c r="B522" s="2"/>
    </row>
    <row r="523" spans="2:2" ht="13">
      <c r="B523" s="2"/>
    </row>
    <row r="524" spans="2:2" ht="13">
      <c r="B524" s="2"/>
    </row>
    <row r="525" spans="2:2" ht="13">
      <c r="B525" s="2"/>
    </row>
    <row r="526" spans="2:2" ht="13">
      <c r="B526" s="2"/>
    </row>
    <row r="527" spans="2:2" ht="13">
      <c r="B527" s="2"/>
    </row>
    <row r="528" spans="2:2" ht="13">
      <c r="B528" s="2"/>
    </row>
    <row r="529" spans="2:2" ht="13">
      <c r="B529" s="2"/>
    </row>
    <row r="530" spans="2:2" ht="13">
      <c r="B530" s="2"/>
    </row>
    <row r="531" spans="2:2" ht="13">
      <c r="B531" s="2"/>
    </row>
    <row r="532" spans="2:2" ht="13">
      <c r="B532" s="2"/>
    </row>
    <row r="533" spans="2:2" ht="13">
      <c r="B533" s="2"/>
    </row>
    <row r="534" spans="2:2" ht="13">
      <c r="B534" s="2"/>
    </row>
    <row r="535" spans="2:2" ht="13">
      <c r="B535" s="2"/>
    </row>
    <row r="536" spans="2:2" ht="13">
      <c r="B536" s="2"/>
    </row>
    <row r="537" spans="2:2" ht="13">
      <c r="B537" s="2"/>
    </row>
    <row r="538" spans="2:2" ht="13">
      <c r="B538" s="2"/>
    </row>
    <row r="539" spans="2:2" ht="13">
      <c r="B539" s="2"/>
    </row>
    <row r="540" spans="2:2" ht="13">
      <c r="B540" s="2"/>
    </row>
    <row r="541" spans="2:2" ht="13">
      <c r="B541" s="2"/>
    </row>
    <row r="542" spans="2:2" ht="13">
      <c r="B542" s="2"/>
    </row>
    <row r="543" spans="2:2" ht="13">
      <c r="B543" s="2"/>
    </row>
    <row r="544" spans="2:2" ht="13">
      <c r="B544" s="2"/>
    </row>
    <row r="545" spans="2:2" ht="13">
      <c r="B545" s="2"/>
    </row>
    <row r="546" spans="2:2" ht="13">
      <c r="B546" s="2"/>
    </row>
    <row r="547" spans="2:2" ht="13">
      <c r="B547" s="2"/>
    </row>
    <row r="548" spans="2:2" ht="13">
      <c r="B548" s="2"/>
    </row>
    <row r="549" spans="2:2" ht="13">
      <c r="B549" s="2"/>
    </row>
    <row r="550" spans="2:2" ht="13">
      <c r="B550" s="2"/>
    </row>
    <row r="551" spans="2:2" ht="13">
      <c r="B551" s="2"/>
    </row>
    <row r="552" spans="2:2" ht="13">
      <c r="B552" s="2"/>
    </row>
    <row r="553" spans="2:2" ht="13">
      <c r="B553" s="2"/>
    </row>
    <row r="554" spans="2:2" ht="13">
      <c r="B554" s="2"/>
    </row>
    <row r="555" spans="2:2" ht="13">
      <c r="B555" s="2"/>
    </row>
    <row r="556" spans="2:2" ht="13">
      <c r="B556" s="2"/>
    </row>
    <row r="557" spans="2:2" ht="13">
      <c r="B557" s="2"/>
    </row>
    <row r="558" spans="2:2" ht="13">
      <c r="B558" s="2"/>
    </row>
    <row r="559" spans="2:2" ht="13">
      <c r="B559" s="2"/>
    </row>
    <row r="560" spans="2:2" ht="13">
      <c r="B560" s="2"/>
    </row>
    <row r="561" spans="2:2" ht="13">
      <c r="B561" s="2"/>
    </row>
    <row r="562" spans="2:2" ht="13">
      <c r="B562" s="2"/>
    </row>
    <row r="563" spans="2:2" ht="13">
      <c r="B563" s="2"/>
    </row>
    <row r="564" spans="2:2" ht="13">
      <c r="B564" s="2"/>
    </row>
    <row r="565" spans="2:2" ht="13">
      <c r="B565" s="2"/>
    </row>
    <row r="566" spans="2:2" ht="13">
      <c r="B566" s="2"/>
    </row>
    <row r="567" spans="2:2" ht="13">
      <c r="B567" s="2"/>
    </row>
    <row r="568" spans="2:2" ht="13">
      <c r="B568" s="2"/>
    </row>
    <row r="569" spans="2:2" ht="13">
      <c r="B569" s="2"/>
    </row>
    <row r="570" spans="2:2" ht="13">
      <c r="B570" s="2"/>
    </row>
    <row r="571" spans="2:2" ht="13">
      <c r="B571" s="2"/>
    </row>
    <row r="572" spans="2:2" ht="13">
      <c r="B572" s="2"/>
    </row>
    <row r="573" spans="2:2" ht="13">
      <c r="B573" s="2"/>
    </row>
    <row r="574" spans="2:2" ht="13">
      <c r="B574" s="2"/>
    </row>
    <row r="575" spans="2:2" ht="13">
      <c r="B575" s="2"/>
    </row>
    <row r="576" spans="2:2" ht="13">
      <c r="B576" s="2"/>
    </row>
    <row r="577" spans="2:2" ht="13">
      <c r="B577" s="2"/>
    </row>
    <row r="578" spans="2:2" ht="13">
      <c r="B578" s="2"/>
    </row>
    <row r="579" spans="2:2" ht="13">
      <c r="B579" s="2"/>
    </row>
    <row r="580" spans="2:2" ht="13">
      <c r="B580" s="2"/>
    </row>
    <row r="581" spans="2:2" ht="13">
      <c r="B581" s="2"/>
    </row>
    <row r="582" spans="2:2" ht="13">
      <c r="B582" s="2"/>
    </row>
    <row r="583" spans="2:2" ht="13">
      <c r="B583" s="2"/>
    </row>
    <row r="584" spans="2:2" ht="13">
      <c r="B584" s="2"/>
    </row>
    <row r="585" spans="2:2" ht="13">
      <c r="B585" s="2"/>
    </row>
    <row r="586" spans="2:2" ht="13">
      <c r="B586" s="2"/>
    </row>
    <row r="587" spans="2:2" ht="13">
      <c r="B587" s="2"/>
    </row>
    <row r="588" spans="2:2" ht="13">
      <c r="B588" s="2"/>
    </row>
    <row r="589" spans="2:2" ht="13">
      <c r="B589" s="2"/>
    </row>
    <row r="590" spans="2:2" ht="13">
      <c r="B590" s="2"/>
    </row>
    <row r="591" spans="2:2" ht="13">
      <c r="B591" s="2"/>
    </row>
    <row r="592" spans="2:2" ht="13">
      <c r="B592" s="2"/>
    </row>
    <row r="593" spans="2:2" ht="13">
      <c r="B593" s="2"/>
    </row>
    <row r="594" spans="2:2" ht="13">
      <c r="B594" s="2"/>
    </row>
    <row r="595" spans="2:2" ht="13">
      <c r="B595" s="2"/>
    </row>
    <row r="596" spans="2:2" ht="13">
      <c r="B596" s="2"/>
    </row>
    <row r="597" spans="2:2" ht="13">
      <c r="B597" s="2"/>
    </row>
    <row r="598" spans="2:2" ht="13">
      <c r="B598" s="2"/>
    </row>
    <row r="599" spans="2:2" ht="13">
      <c r="B599" s="2"/>
    </row>
    <row r="600" spans="2:2" ht="13">
      <c r="B600" s="2"/>
    </row>
    <row r="601" spans="2:2" ht="13">
      <c r="B601" s="2"/>
    </row>
    <row r="602" spans="2:2" ht="13">
      <c r="B602" s="2"/>
    </row>
    <row r="603" spans="2:2" ht="13">
      <c r="B603" s="2"/>
    </row>
    <row r="604" spans="2:2" ht="13">
      <c r="B604" s="2"/>
    </row>
    <row r="605" spans="2:2" ht="13">
      <c r="B605" s="2"/>
    </row>
    <row r="606" spans="2:2" ht="13">
      <c r="B606" s="2"/>
    </row>
    <row r="607" spans="2:2" ht="13">
      <c r="B607" s="2"/>
    </row>
    <row r="608" spans="2:2" ht="13">
      <c r="B608" s="2"/>
    </row>
    <row r="609" spans="2:2" ht="13">
      <c r="B609" s="2"/>
    </row>
    <row r="610" spans="2:2" ht="13">
      <c r="B610" s="2"/>
    </row>
    <row r="611" spans="2:2" ht="13">
      <c r="B611" s="2"/>
    </row>
    <row r="612" spans="2:2" ht="13">
      <c r="B612" s="2"/>
    </row>
    <row r="613" spans="2:2" ht="13">
      <c r="B613" s="2"/>
    </row>
    <row r="614" spans="2:2" ht="13">
      <c r="B614" s="2"/>
    </row>
    <row r="615" spans="2:2" ht="13">
      <c r="B615" s="2"/>
    </row>
    <row r="616" spans="2:2" ht="13">
      <c r="B616" s="2"/>
    </row>
    <row r="617" spans="2:2" ht="13">
      <c r="B617" s="2"/>
    </row>
    <row r="618" spans="2:2" ht="13">
      <c r="B618" s="2"/>
    </row>
    <row r="619" spans="2:2" ht="13">
      <c r="B619" s="2"/>
    </row>
    <row r="620" spans="2:2" ht="13">
      <c r="B620" s="2"/>
    </row>
    <row r="621" spans="2:2" ht="13">
      <c r="B621" s="2"/>
    </row>
    <row r="622" spans="2:2" ht="13">
      <c r="B622" s="2"/>
    </row>
    <row r="623" spans="2:2" ht="13">
      <c r="B623" s="2"/>
    </row>
    <row r="624" spans="2:2" ht="13">
      <c r="B624" s="2"/>
    </row>
    <row r="625" spans="2:2" ht="13">
      <c r="B625" s="2"/>
    </row>
    <row r="626" spans="2:2" ht="13">
      <c r="B626" s="2"/>
    </row>
    <row r="627" spans="2:2" ht="13">
      <c r="B627" s="2"/>
    </row>
    <row r="628" spans="2:2" ht="13">
      <c r="B628" s="2"/>
    </row>
    <row r="629" spans="2:2" ht="13">
      <c r="B629" s="2"/>
    </row>
    <row r="630" spans="2:2" ht="13">
      <c r="B630" s="2"/>
    </row>
    <row r="631" spans="2:2" ht="13">
      <c r="B631" s="2"/>
    </row>
    <row r="632" spans="2:2" ht="13">
      <c r="B632" s="2"/>
    </row>
    <row r="633" spans="2:2" ht="13">
      <c r="B633" s="2"/>
    </row>
    <row r="634" spans="2:2" ht="13">
      <c r="B634" s="2"/>
    </row>
    <row r="635" spans="2:2" ht="13">
      <c r="B635" s="2"/>
    </row>
    <row r="636" spans="2:2" ht="13">
      <c r="B636" s="2"/>
    </row>
    <row r="637" spans="2:2" ht="13">
      <c r="B637" s="2"/>
    </row>
    <row r="638" spans="2:2" ht="13">
      <c r="B638" s="2"/>
    </row>
    <row r="639" spans="2:2" ht="13">
      <c r="B639" s="2"/>
    </row>
    <row r="640" spans="2:2" ht="13">
      <c r="B640" s="2"/>
    </row>
    <row r="641" spans="2:2" ht="13">
      <c r="B641" s="2"/>
    </row>
    <row r="642" spans="2:2" ht="13">
      <c r="B642" s="2"/>
    </row>
    <row r="643" spans="2:2" ht="13">
      <c r="B643" s="2"/>
    </row>
    <row r="644" spans="2:2" ht="13">
      <c r="B644" s="2"/>
    </row>
    <row r="645" spans="2:2" ht="13">
      <c r="B645" s="2"/>
    </row>
    <row r="646" spans="2:2" ht="13">
      <c r="B646" s="2"/>
    </row>
    <row r="647" spans="2:2" ht="13">
      <c r="B647" s="2"/>
    </row>
    <row r="648" spans="2:2" ht="13">
      <c r="B648" s="2"/>
    </row>
    <row r="649" spans="2:2" ht="13">
      <c r="B649" s="2"/>
    </row>
    <row r="650" spans="2:2" ht="13">
      <c r="B650" s="2"/>
    </row>
    <row r="651" spans="2:2" ht="13">
      <c r="B651" s="2"/>
    </row>
    <row r="652" spans="2:2" ht="13">
      <c r="B652" s="2"/>
    </row>
    <row r="653" spans="2:2" ht="13">
      <c r="B653" s="2"/>
    </row>
    <row r="654" spans="2:2" ht="13">
      <c r="B654" s="2"/>
    </row>
    <row r="655" spans="2:2" ht="13">
      <c r="B655" s="2"/>
    </row>
    <row r="656" spans="2:2" ht="13">
      <c r="B656" s="2"/>
    </row>
    <row r="657" spans="2:2" ht="13">
      <c r="B657" s="2"/>
    </row>
    <row r="658" spans="2:2" ht="13">
      <c r="B658" s="2"/>
    </row>
    <row r="659" spans="2:2" ht="13">
      <c r="B659" s="2"/>
    </row>
    <row r="660" spans="2:2" ht="13">
      <c r="B660" s="2"/>
    </row>
    <row r="661" spans="2:2" ht="13">
      <c r="B661" s="2"/>
    </row>
    <row r="662" spans="2:2" ht="13">
      <c r="B662" s="2"/>
    </row>
    <row r="663" spans="2:2" ht="13">
      <c r="B663" s="2"/>
    </row>
    <row r="664" spans="2:2" ht="13">
      <c r="B664" s="2"/>
    </row>
    <row r="665" spans="2:2" ht="13">
      <c r="B665" s="2"/>
    </row>
    <row r="666" spans="2:2" ht="13">
      <c r="B666" s="2"/>
    </row>
    <row r="667" spans="2:2" ht="13">
      <c r="B667" s="2"/>
    </row>
    <row r="668" spans="2:2" ht="13">
      <c r="B668" s="2"/>
    </row>
    <row r="669" spans="2:2" ht="13">
      <c r="B669" s="2"/>
    </row>
    <row r="670" spans="2:2" ht="13">
      <c r="B670" s="2"/>
    </row>
    <row r="671" spans="2:2" ht="13">
      <c r="B671" s="2"/>
    </row>
    <row r="672" spans="2:2" ht="13">
      <c r="B672" s="2"/>
    </row>
    <row r="673" spans="2:2" ht="13">
      <c r="B673" s="2"/>
    </row>
    <row r="674" spans="2:2" ht="13">
      <c r="B674" s="2"/>
    </row>
    <row r="675" spans="2:2" ht="13">
      <c r="B675" s="2"/>
    </row>
    <row r="676" spans="2:2" ht="13">
      <c r="B676" s="2"/>
    </row>
    <row r="677" spans="2:2" ht="13">
      <c r="B677" s="2"/>
    </row>
    <row r="678" spans="2:2" ht="13">
      <c r="B678" s="2"/>
    </row>
    <row r="679" spans="2:2" ht="13">
      <c r="B679" s="2"/>
    </row>
    <row r="680" spans="2:2" ht="13">
      <c r="B680" s="2"/>
    </row>
    <row r="681" spans="2:2" ht="13">
      <c r="B681" s="2"/>
    </row>
    <row r="682" spans="2:2" ht="13">
      <c r="B682" s="2"/>
    </row>
    <row r="683" spans="2:2" ht="13">
      <c r="B683" s="2"/>
    </row>
    <row r="684" spans="2:2" ht="13">
      <c r="B684" s="2"/>
    </row>
    <row r="685" spans="2:2" ht="13">
      <c r="B685" s="2"/>
    </row>
    <row r="686" spans="2:2" ht="13">
      <c r="B686" s="2"/>
    </row>
    <row r="687" spans="2:2" ht="13">
      <c r="B687" s="2"/>
    </row>
    <row r="688" spans="2:2" ht="13">
      <c r="B688" s="2"/>
    </row>
    <row r="689" spans="2:2" ht="13">
      <c r="B689" s="2"/>
    </row>
    <row r="690" spans="2:2" ht="13">
      <c r="B690" s="2"/>
    </row>
    <row r="691" spans="2:2" ht="13">
      <c r="B691" s="2"/>
    </row>
    <row r="692" spans="2:2" ht="13">
      <c r="B692" s="2"/>
    </row>
    <row r="693" spans="2:2" ht="13">
      <c r="B693" s="2"/>
    </row>
    <row r="694" spans="2:2" ht="13">
      <c r="B694" s="2"/>
    </row>
    <row r="695" spans="2:2" ht="13">
      <c r="B695" s="2"/>
    </row>
    <row r="696" spans="2:2" ht="13">
      <c r="B696" s="2"/>
    </row>
    <row r="697" spans="2:2" ht="13">
      <c r="B697" s="2"/>
    </row>
    <row r="698" spans="2:2" ht="13">
      <c r="B698" s="2"/>
    </row>
    <row r="699" spans="2:2" ht="13">
      <c r="B699" s="2"/>
    </row>
    <row r="700" spans="2:2" ht="13">
      <c r="B700" s="2"/>
    </row>
    <row r="701" spans="2:2" ht="13">
      <c r="B701" s="2"/>
    </row>
    <row r="702" spans="2:2" ht="13">
      <c r="B702" s="2"/>
    </row>
    <row r="703" spans="2:2" ht="13">
      <c r="B703" s="2"/>
    </row>
    <row r="704" spans="2:2" ht="13">
      <c r="B704" s="2"/>
    </row>
    <row r="705" spans="2:2" ht="13">
      <c r="B705" s="2"/>
    </row>
    <row r="706" spans="2:2" ht="13">
      <c r="B706" s="2"/>
    </row>
    <row r="707" spans="2:2" ht="13">
      <c r="B707" s="2"/>
    </row>
    <row r="708" spans="2:2" ht="13">
      <c r="B708" s="2"/>
    </row>
    <row r="709" spans="2:2" ht="13">
      <c r="B709" s="2"/>
    </row>
    <row r="710" spans="2:2" ht="13">
      <c r="B710" s="2"/>
    </row>
    <row r="711" spans="2:2" ht="13">
      <c r="B711" s="2"/>
    </row>
    <row r="712" spans="2:2" ht="13">
      <c r="B712" s="2"/>
    </row>
    <row r="713" spans="2:2" ht="13">
      <c r="B713" s="2"/>
    </row>
    <row r="714" spans="2:2" ht="13">
      <c r="B714" s="2"/>
    </row>
    <row r="715" spans="2:2" ht="13">
      <c r="B715" s="2"/>
    </row>
    <row r="716" spans="2:2" ht="13">
      <c r="B716" s="2"/>
    </row>
    <row r="717" spans="2:2" ht="13">
      <c r="B717" s="2"/>
    </row>
    <row r="718" spans="2:2" ht="13">
      <c r="B718" s="2"/>
    </row>
    <row r="719" spans="2:2" ht="13">
      <c r="B719" s="2"/>
    </row>
    <row r="720" spans="2:2" ht="13">
      <c r="B720" s="2"/>
    </row>
    <row r="721" spans="2:2" ht="13">
      <c r="B721" s="2"/>
    </row>
    <row r="722" spans="2:2" ht="13">
      <c r="B722" s="2"/>
    </row>
    <row r="723" spans="2:2" ht="13">
      <c r="B723" s="2"/>
    </row>
    <row r="724" spans="2:2" ht="13">
      <c r="B724" s="2"/>
    </row>
    <row r="725" spans="2:2" ht="13">
      <c r="B725" s="2"/>
    </row>
    <row r="726" spans="2:2" ht="13">
      <c r="B726" s="2"/>
    </row>
    <row r="727" spans="2:2" ht="13">
      <c r="B727" s="2"/>
    </row>
    <row r="728" spans="2:2" ht="13">
      <c r="B728" s="2"/>
    </row>
    <row r="729" spans="2:2" ht="13">
      <c r="B729" s="2"/>
    </row>
    <row r="730" spans="2:2" ht="13">
      <c r="B730" s="2"/>
    </row>
    <row r="731" spans="2:2" ht="13">
      <c r="B731" s="2"/>
    </row>
    <row r="732" spans="2:2" ht="13">
      <c r="B732" s="2"/>
    </row>
    <row r="733" spans="2:2" ht="13">
      <c r="B733" s="2"/>
    </row>
    <row r="734" spans="2:2" ht="13">
      <c r="B734" s="2"/>
    </row>
    <row r="735" spans="2:2" ht="13">
      <c r="B735" s="2"/>
    </row>
    <row r="736" spans="2:2" ht="13">
      <c r="B736" s="2"/>
    </row>
    <row r="737" spans="2:2" ht="13">
      <c r="B737" s="2"/>
    </row>
    <row r="738" spans="2:2" ht="13">
      <c r="B738" s="2"/>
    </row>
    <row r="739" spans="2:2" ht="13">
      <c r="B739" s="2"/>
    </row>
    <row r="740" spans="2:2" ht="13">
      <c r="B740" s="2"/>
    </row>
    <row r="741" spans="2:2" ht="13">
      <c r="B741" s="2"/>
    </row>
    <row r="742" spans="2:2" ht="13">
      <c r="B742" s="2"/>
    </row>
    <row r="743" spans="2:2" ht="13">
      <c r="B743" s="2"/>
    </row>
    <row r="744" spans="2:2" ht="13">
      <c r="B744" s="2"/>
    </row>
    <row r="745" spans="2:2" ht="13">
      <c r="B745" s="2"/>
    </row>
    <row r="746" spans="2:2" ht="13">
      <c r="B746" s="2"/>
    </row>
    <row r="747" spans="2:2" ht="13">
      <c r="B747" s="2"/>
    </row>
    <row r="748" spans="2:2" ht="13">
      <c r="B748" s="2"/>
    </row>
    <row r="749" spans="2:2" ht="13">
      <c r="B749" s="2"/>
    </row>
    <row r="750" spans="2:2" ht="13">
      <c r="B750" s="2"/>
    </row>
    <row r="751" spans="2:2" ht="13">
      <c r="B751" s="2"/>
    </row>
    <row r="752" spans="2:2" ht="13">
      <c r="B752" s="2"/>
    </row>
    <row r="753" spans="2:2" ht="13">
      <c r="B753" s="2"/>
    </row>
    <row r="754" spans="2:2" ht="13">
      <c r="B754" s="2"/>
    </row>
    <row r="755" spans="2:2" ht="13">
      <c r="B755" s="2"/>
    </row>
    <row r="756" spans="2:2" ht="13">
      <c r="B756" s="2"/>
    </row>
    <row r="757" spans="2:2" ht="13">
      <c r="B757" s="2"/>
    </row>
    <row r="758" spans="2:2" ht="13">
      <c r="B758" s="2"/>
    </row>
    <row r="759" spans="2:2" ht="13">
      <c r="B759" s="2"/>
    </row>
    <row r="760" spans="2:2" ht="13">
      <c r="B760" s="2"/>
    </row>
    <row r="761" spans="2:2" ht="13">
      <c r="B761" s="2"/>
    </row>
    <row r="762" spans="2:2" ht="13">
      <c r="B762" s="2"/>
    </row>
    <row r="763" spans="2:2" ht="13">
      <c r="B763" s="2"/>
    </row>
    <row r="764" spans="2:2" ht="13">
      <c r="B764" s="2"/>
    </row>
    <row r="765" spans="2:2" ht="13">
      <c r="B765" s="2"/>
    </row>
    <row r="766" spans="2:2" ht="13">
      <c r="B766" s="2"/>
    </row>
    <row r="767" spans="2:2" ht="13">
      <c r="B767" s="2"/>
    </row>
    <row r="768" spans="2:2" ht="13">
      <c r="B768" s="2"/>
    </row>
    <row r="769" spans="2:2" ht="13">
      <c r="B769" s="2"/>
    </row>
    <row r="770" spans="2:2" ht="13">
      <c r="B770" s="2"/>
    </row>
    <row r="771" spans="2:2" ht="13">
      <c r="B771" s="2"/>
    </row>
    <row r="772" spans="2:2" ht="13">
      <c r="B772" s="2"/>
    </row>
    <row r="773" spans="2:2" ht="13">
      <c r="B773" s="2"/>
    </row>
    <row r="774" spans="2:2" ht="13">
      <c r="B774" s="2"/>
    </row>
    <row r="775" spans="2:2" ht="13">
      <c r="B775" s="2"/>
    </row>
    <row r="776" spans="2:2" ht="13">
      <c r="B776" s="2"/>
    </row>
    <row r="777" spans="2:2" ht="13">
      <c r="B777" s="2"/>
    </row>
    <row r="778" spans="2:2" ht="13">
      <c r="B778" s="2"/>
    </row>
    <row r="779" spans="2:2" ht="13">
      <c r="B779" s="2"/>
    </row>
    <row r="780" spans="2:2" ht="13">
      <c r="B780" s="2"/>
    </row>
    <row r="781" spans="2:2" ht="13">
      <c r="B781" s="2"/>
    </row>
    <row r="782" spans="2:2" ht="13">
      <c r="B782" s="2"/>
    </row>
    <row r="783" spans="2:2" ht="13">
      <c r="B783" s="2"/>
    </row>
    <row r="784" spans="2:2" ht="13">
      <c r="B784" s="2"/>
    </row>
    <row r="785" spans="2:2" ht="13">
      <c r="B785" s="2"/>
    </row>
    <row r="786" spans="2:2" ht="13">
      <c r="B786" s="2"/>
    </row>
    <row r="787" spans="2:2" ht="13">
      <c r="B787" s="2"/>
    </row>
    <row r="788" spans="2:2" ht="13">
      <c r="B788" s="2"/>
    </row>
    <row r="789" spans="2:2" ht="13">
      <c r="B789" s="2"/>
    </row>
    <row r="790" spans="2:2" ht="13">
      <c r="B790" s="2"/>
    </row>
    <row r="791" spans="2:2" ht="13">
      <c r="B791" s="2"/>
    </row>
    <row r="792" spans="2:2" ht="13">
      <c r="B792" s="2"/>
    </row>
    <row r="793" spans="2:2" ht="13">
      <c r="B793" s="2"/>
    </row>
    <row r="794" spans="2:2" ht="13">
      <c r="B794" s="2"/>
    </row>
    <row r="795" spans="2:2" ht="13">
      <c r="B795" s="2"/>
    </row>
    <row r="796" spans="2:2" ht="13">
      <c r="B796" s="2"/>
    </row>
    <row r="797" spans="2:2" ht="13">
      <c r="B797" s="2"/>
    </row>
    <row r="798" spans="2:2" ht="13">
      <c r="B798" s="2"/>
    </row>
    <row r="799" spans="2:2" ht="13">
      <c r="B799" s="2"/>
    </row>
    <row r="800" spans="2:2" ht="13">
      <c r="B800" s="2"/>
    </row>
    <row r="801" spans="2:2" ht="13">
      <c r="B801" s="2"/>
    </row>
    <row r="802" spans="2:2" ht="13">
      <c r="B802" s="2"/>
    </row>
    <row r="803" spans="2:2" ht="13">
      <c r="B803" s="2"/>
    </row>
    <row r="804" spans="2:2" ht="13">
      <c r="B804" s="2"/>
    </row>
    <row r="805" spans="2:2" ht="13">
      <c r="B805" s="2"/>
    </row>
    <row r="806" spans="2:2" ht="13">
      <c r="B806" s="2"/>
    </row>
    <row r="807" spans="2:2" ht="13">
      <c r="B807" s="2"/>
    </row>
    <row r="808" spans="2:2" ht="13">
      <c r="B808" s="2"/>
    </row>
    <row r="809" spans="2:2" ht="13">
      <c r="B809" s="2"/>
    </row>
    <row r="810" spans="2:2" ht="13">
      <c r="B810" s="2"/>
    </row>
    <row r="811" spans="2:2" ht="13">
      <c r="B811" s="2"/>
    </row>
    <row r="812" spans="2:2" ht="13">
      <c r="B812" s="2"/>
    </row>
    <row r="813" spans="2:2" ht="13">
      <c r="B813" s="2"/>
    </row>
    <row r="814" spans="2:2" ht="13">
      <c r="B814" s="2"/>
    </row>
    <row r="815" spans="2:2" ht="13">
      <c r="B815" s="2"/>
    </row>
    <row r="816" spans="2:2" ht="13">
      <c r="B816" s="2"/>
    </row>
    <row r="817" spans="2:2" ht="13">
      <c r="B817" s="2"/>
    </row>
    <row r="818" spans="2:2" ht="13">
      <c r="B818" s="2"/>
    </row>
    <row r="819" spans="2:2" ht="13">
      <c r="B819" s="2"/>
    </row>
    <row r="820" spans="2:2" ht="13">
      <c r="B820" s="2"/>
    </row>
    <row r="821" spans="2:2" ht="13">
      <c r="B821" s="2"/>
    </row>
    <row r="822" spans="2:2" ht="13">
      <c r="B822" s="2"/>
    </row>
    <row r="823" spans="2:2" ht="13">
      <c r="B823" s="2"/>
    </row>
    <row r="824" spans="2:2" ht="13">
      <c r="B824" s="2"/>
    </row>
    <row r="825" spans="2:2" ht="13">
      <c r="B825" s="2"/>
    </row>
    <row r="826" spans="2:2" ht="13">
      <c r="B826" s="2"/>
    </row>
    <row r="827" spans="2:2" ht="13">
      <c r="B827" s="2"/>
    </row>
    <row r="828" spans="2:2" ht="13">
      <c r="B828" s="2"/>
    </row>
    <row r="829" spans="2:2" ht="13">
      <c r="B829" s="2"/>
    </row>
    <row r="830" spans="2:2" ht="13">
      <c r="B830" s="2"/>
    </row>
    <row r="831" spans="2:2" ht="13">
      <c r="B831" s="2"/>
    </row>
    <row r="832" spans="2:2" ht="13">
      <c r="B832" s="2"/>
    </row>
    <row r="833" spans="2:2" ht="13">
      <c r="B833" s="2"/>
    </row>
    <row r="834" spans="2:2" ht="13">
      <c r="B834" s="2"/>
    </row>
    <row r="835" spans="2:2" ht="13">
      <c r="B835" s="2"/>
    </row>
    <row r="836" spans="2:2" ht="13">
      <c r="B836" s="2"/>
    </row>
    <row r="837" spans="2:2" ht="13">
      <c r="B837" s="2"/>
    </row>
    <row r="838" spans="2:2" ht="13">
      <c r="B838" s="2"/>
    </row>
    <row r="839" spans="2:2" ht="13">
      <c r="B839" s="2"/>
    </row>
    <row r="840" spans="2:2" ht="13">
      <c r="B840" s="2"/>
    </row>
    <row r="841" spans="2:2" ht="13">
      <c r="B841" s="2"/>
    </row>
    <row r="842" spans="2:2" ht="13">
      <c r="B842" s="2"/>
    </row>
    <row r="843" spans="2:2" ht="13">
      <c r="B843" s="2"/>
    </row>
    <row r="844" spans="2:2" ht="13">
      <c r="B844" s="2"/>
    </row>
    <row r="845" spans="2:2" ht="13">
      <c r="B845" s="2"/>
    </row>
    <row r="846" spans="2:2" ht="13">
      <c r="B846" s="2"/>
    </row>
    <row r="847" spans="2:2" ht="13">
      <c r="B847" s="2"/>
    </row>
    <row r="848" spans="2:2" ht="13">
      <c r="B848" s="2"/>
    </row>
    <row r="849" spans="2:2" ht="13">
      <c r="B849" s="2"/>
    </row>
    <row r="850" spans="2:2" ht="13">
      <c r="B850" s="2"/>
    </row>
    <row r="851" spans="2:2" ht="13">
      <c r="B851" s="2"/>
    </row>
    <row r="852" spans="2:2" ht="13">
      <c r="B852" s="2"/>
    </row>
    <row r="853" spans="2:2" ht="13">
      <c r="B853" s="2"/>
    </row>
    <row r="854" spans="2:2" ht="13">
      <c r="B854" s="2"/>
    </row>
    <row r="855" spans="2:2" ht="13">
      <c r="B855" s="2"/>
    </row>
    <row r="856" spans="2:2" ht="13">
      <c r="B856" s="2"/>
    </row>
    <row r="857" spans="2:2" ht="13">
      <c r="B857" s="2"/>
    </row>
    <row r="858" spans="2:2" ht="13">
      <c r="B858" s="2"/>
    </row>
    <row r="859" spans="2:2" ht="13">
      <c r="B859" s="2"/>
    </row>
    <row r="860" spans="2:2" ht="13">
      <c r="B860" s="2"/>
    </row>
    <row r="861" spans="2:2" ht="13">
      <c r="B861" s="2"/>
    </row>
    <row r="862" spans="2:2" ht="13">
      <c r="B862" s="2"/>
    </row>
    <row r="863" spans="2:2" ht="13">
      <c r="B863" s="2"/>
    </row>
    <row r="864" spans="2:2" ht="13">
      <c r="B864" s="2"/>
    </row>
    <row r="865" spans="2:2" ht="13">
      <c r="B865" s="2"/>
    </row>
    <row r="866" spans="2:2" ht="13">
      <c r="B866" s="2"/>
    </row>
    <row r="867" spans="2:2" ht="13">
      <c r="B867" s="2"/>
    </row>
    <row r="868" spans="2:2" ht="13">
      <c r="B868" s="2"/>
    </row>
    <row r="869" spans="2:2" ht="13">
      <c r="B869" s="2"/>
    </row>
    <row r="870" spans="2:2" ht="13">
      <c r="B870" s="2"/>
    </row>
    <row r="871" spans="2:2" ht="13">
      <c r="B871" s="2"/>
    </row>
    <row r="872" spans="2:2" ht="13">
      <c r="B872" s="2"/>
    </row>
    <row r="873" spans="2:2" ht="13">
      <c r="B873" s="2"/>
    </row>
    <row r="874" spans="2:2" ht="13">
      <c r="B874" s="2"/>
    </row>
    <row r="875" spans="2:2" ht="13">
      <c r="B875" s="2"/>
    </row>
    <row r="876" spans="2:2" ht="13">
      <c r="B876" s="2"/>
    </row>
    <row r="877" spans="2:2" ht="13">
      <c r="B877" s="2"/>
    </row>
    <row r="878" spans="2:2" ht="13">
      <c r="B878" s="2"/>
    </row>
    <row r="879" spans="2:2" ht="13">
      <c r="B879" s="2"/>
    </row>
    <row r="880" spans="2:2" ht="13">
      <c r="B880" s="2"/>
    </row>
    <row r="881" spans="2:2" ht="13">
      <c r="B881" s="2"/>
    </row>
    <row r="882" spans="2:2" ht="13">
      <c r="B882" s="2"/>
    </row>
    <row r="883" spans="2:2" ht="13">
      <c r="B883" s="2"/>
    </row>
    <row r="884" spans="2:2" ht="13">
      <c r="B884" s="2"/>
    </row>
    <row r="885" spans="2:2" ht="13">
      <c r="B885" s="2"/>
    </row>
    <row r="886" spans="2:2" ht="13">
      <c r="B886" s="2"/>
    </row>
    <row r="887" spans="2:2" ht="13">
      <c r="B887" s="2"/>
    </row>
    <row r="888" spans="2:2" ht="13">
      <c r="B888" s="2"/>
    </row>
    <row r="889" spans="2:2" ht="13">
      <c r="B889" s="2"/>
    </row>
    <row r="890" spans="2:2" ht="13">
      <c r="B890" s="2"/>
    </row>
    <row r="891" spans="2:2" ht="13">
      <c r="B891" s="2"/>
    </row>
    <row r="892" spans="2:2" ht="13">
      <c r="B892" s="2"/>
    </row>
    <row r="893" spans="2:2" ht="13">
      <c r="B893" s="2"/>
    </row>
    <row r="894" spans="2:2" ht="13">
      <c r="B894" s="2"/>
    </row>
    <row r="895" spans="2:2" ht="13">
      <c r="B895" s="2"/>
    </row>
    <row r="896" spans="2:2" ht="13">
      <c r="B896" s="2"/>
    </row>
    <row r="897" spans="2:2" ht="13">
      <c r="B897" s="2"/>
    </row>
    <row r="898" spans="2:2" ht="13">
      <c r="B898" s="2"/>
    </row>
    <row r="899" spans="2:2" ht="13">
      <c r="B899" s="2"/>
    </row>
    <row r="900" spans="2:2" ht="13">
      <c r="B900" s="2"/>
    </row>
    <row r="901" spans="2:2" ht="13">
      <c r="B901" s="2"/>
    </row>
    <row r="902" spans="2:2" ht="13">
      <c r="B902" s="2"/>
    </row>
    <row r="903" spans="2:2" ht="13">
      <c r="B903" s="2"/>
    </row>
    <row r="904" spans="2:2" ht="13">
      <c r="B904" s="2"/>
    </row>
    <row r="905" spans="2:2" ht="13">
      <c r="B905" s="2"/>
    </row>
    <row r="906" spans="2:2" ht="13">
      <c r="B906" s="2"/>
    </row>
    <row r="907" spans="2:2" ht="13">
      <c r="B907" s="2"/>
    </row>
    <row r="908" spans="2:2" ht="13">
      <c r="B908" s="2"/>
    </row>
    <row r="909" spans="2:2" ht="13">
      <c r="B909" s="2"/>
    </row>
    <row r="910" spans="2:2" ht="13">
      <c r="B910" s="2"/>
    </row>
    <row r="911" spans="2:2" ht="13">
      <c r="B911" s="2"/>
    </row>
    <row r="912" spans="2:2" ht="13">
      <c r="B912" s="2"/>
    </row>
    <row r="913" spans="2:2" ht="13">
      <c r="B913" s="2"/>
    </row>
    <row r="914" spans="2:2" ht="13">
      <c r="B914" s="2"/>
    </row>
    <row r="915" spans="2:2" ht="13">
      <c r="B915" s="2"/>
    </row>
    <row r="916" spans="2:2" ht="13">
      <c r="B916" s="2"/>
    </row>
    <row r="917" spans="2:2" ht="13">
      <c r="B917" s="2"/>
    </row>
    <row r="918" spans="2:2" ht="13">
      <c r="B918" s="2"/>
    </row>
    <row r="919" spans="2:2" ht="13">
      <c r="B919" s="2"/>
    </row>
    <row r="920" spans="2:2" ht="13">
      <c r="B920" s="2"/>
    </row>
    <row r="921" spans="2:2" ht="13">
      <c r="B921" s="2"/>
    </row>
    <row r="922" spans="2:2" ht="13">
      <c r="B922" s="2"/>
    </row>
    <row r="923" spans="2:2" ht="13">
      <c r="B923" s="2"/>
    </row>
    <row r="924" spans="2:2" ht="13">
      <c r="B924" s="2"/>
    </row>
    <row r="925" spans="2:2" ht="13">
      <c r="B925" s="2"/>
    </row>
    <row r="926" spans="2:2" ht="13">
      <c r="B926" s="2"/>
    </row>
    <row r="927" spans="2:2" ht="13">
      <c r="B927" s="2"/>
    </row>
    <row r="928" spans="2:2" ht="13">
      <c r="B928" s="2"/>
    </row>
    <row r="929" spans="2:2" ht="13">
      <c r="B929" s="2"/>
    </row>
    <row r="930" spans="2:2" ht="13">
      <c r="B930" s="2"/>
    </row>
    <row r="931" spans="2:2" ht="13">
      <c r="B931" s="2"/>
    </row>
    <row r="932" spans="2:2" ht="13">
      <c r="B932" s="2"/>
    </row>
    <row r="933" spans="2:2" ht="13">
      <c r="B933" s="2"/>
    </row>
    <row r="934" spans="2:2" ht="13">
      <c r="B934" s="2"/>
    </row>
    <row r="935" spans="2:2" ht="13">
      <c r="B935" s="2"/>
    </row>
    <row r="936" spans="2:2" ht="13">
      <c r="B936" s="2"/>
    </row>
    <row r="937" spans="2:2" ht="13">
      <c r="B937" s="2"/>
    </row>
    <row r="938" spans="2:2" ht="13">
      <c r="B938" s="2"/>
    </row>
    <row r="939" spans="2:2" ht="13">
      <c r="B939" s="2"/>
    </row>
    <row r="940" spans="2:2" ht="13">
      <c r="B940" s="2"/>
    </row>
    <row r="941" spans="2:2" ht="13">
      <c r="B941" s="2"/>
    </row>
    <row r="942" spans="2:2" ht="13">
      <c r="B942" s="2"/>
    </row>
    <row r="943" spans="2:2" ht="13">
      <c r="B943" s="2"/>
    </row>
    <row r="944" spans="2:2" ht="13">
      <c r="B944" s="2"/>
    </row>
    <row r="945" spans="2:2" ht="13">
      <c r="B945" s="2"/>
    </row>
    <row r="946" spans="2:2" ht="13">
      <c r="B946" s="2"/>
    </row>
    <row r="947" spans="2:2" ht="13">
      <c r="B947" s="2"/>
    </row>
    <row r="948" spans="2:2" ht="13">
      <c r="B948" s="2"/>
    </row>
    <row r="949" spans="2:2" ht="13">
      <c r="B949" s="2"/>
    </row>
    <row r="950" spans="2:2" ht="13">
      <c r="B950" s="2"/>
    </row>
    <row r="951" spans="2:2" ht="13">
      <c r="B951" s="2"/>
    </row>
    <row r="952" spans="2:2" ht="13">
      <c r="B952" s="2"/>
    </row>
    <row r="953" spans="2:2" ht="13">
      <c r="B953" s="2"/>
    </row>
    <row r="954" spans="2:2" ht="13">
      <c r="B954" s="2"/>
    </row>
    <row r="955" spans="2:2" ht="13">
      <c r="B955" s="2"/>
    </row>
    <row r="956" spans="2:2" ht="13">
      <c r="B956" s="2"/>
    </row>
    <row r="957" spans="2:2" ht="13">
      <c r="B957" s="2"/>
    </row>
    <row r="958" spans="2:2" ht="13">
      <c r="B958" s="2"/>
    </row>
    <row r="959" spans="2:2" ht="13">
      <c r="B959" s="2"/>
    </row>
    <row r="960" spans="2:2" ht="13">
      <c r="B960" s="2"/>
    </row>
    <row r="961" spans="2:2" ht="13">
      <c r="B961" s="2"/>
    </row>
    <row r="962" spans="2:2" ht="13">
      <c r="B962" s="2"/>
    </row>
    <row r="963" spans="2:2" ht="13">
      <c r="B963" s="2"/>
    </row>
    <row r="964" spans="2:2" ht="13">
      <c r="B964" s="2"/>
    </row>
    <row r="965" spans="2:2" ht="13">
      <c r="B965" s="2"/>
    </row>
    <row r="966" spans="2:2" ht="13">
      <c r="B966" s="2"/>
    </row>
    <row r="967" spans="2:2" ht="13">
      <c r="B967" s="2"/>
    </row>
    <row r="968" spans="2:2" ht="13">
      <c r="B968" s="2"/>
    </row>
    <row r="969" spans="2:2" ht="13">
      <c r="B969" s="2"/>
    </row>
    <row r="970" spans="2:2" ht="13">
      <c r="B970" s="2"/>
    </row>
    <row r="971" spans="2:2" ht="13">
      <c r="B971" s="2"/>
    </row>
    <row r="972" spans="2:2" ht="13">
      <c r="B972" s="2"/>
    </row>
    <row r="973" spans="2:2" ht="13">
      <c r="B973" s="2"/>
    </row>
    <row r="974" spans="2:2" ht="13">
      <c r="B974" s="2"/>
    </row>
    <row r="975" spans="2:2" ht="13">
      <c r="B975" s="2"/>
    </row>
    <row r="976" spans="2:2" ht="13">
      <c r="B976" s="2"/>
    </row>
    <row r="977" spans="2:2" ht="13">
      <c r="B977" s="2"/>
    </row>
    <row r="978" spans="2:2" ht="13">
      <c r="B978" s="2"/>
    </row>
    <row r="979" spans="2:2" ht="13">
      <c r="B979" s="2"/>
    </row>
    <row r="980" spans="2:2" ht="13">
      <c r="B980" s="2"/>
    </row>
    <row r="981" spans="2:2" ht="13">
      <c r="B981" s="2"/>
    </row>
    <row r="982" spans="2:2" ht="13">
      <c r="B982" s="2"/>
    </row>
    <row r="983" spans="2:2" ht="13">
      <c r="B983" s="2"/>
    </row>
    <row r="984" spans="2:2" ht="13">
      <c r="B984" s="2"/>
    </row>
    <row r="985" spans="2:2" ht="13">
      <c r="B985" s="2"/>
    </row>
    <row r="986" spans="2:2" ht="13">
      <c r="B986" s="2"/>
    </row>
    <row r="987" spans="2:2" ht="13">
      <c r="B987" s="2"/>
    </row>
    <row r="988" spans="2:2" ht="13">
      <c r="B988" s="2"/>
    </row>
    <row r="989" spans="2:2" ht="13">
      <c r="B989" s="2"/>
    </row>
    <row r="990" spans="2:2" ht="13">
      <c r="B990" s="2"/>
    </row>
    <row r="991" spans="2:2" ht="13">
      <c r="B991" s="2"/>
    </row>
    <row r="992" spans="2:2" ht="13">
      <c r="B992" s="2"/>
    </row>
    <row r="993" spans="2:2" ht="13">
      <c r="B993" s="2"/>
    </row>
    <row r="994" spans="2:2" ht="13">
      <c r="B994" s="2"/>
    </row>
    <row r="995" spans="2:2" ht="13">
      <c r="B995" s="2"/>
    </row>
    <row r="996" spans="2:2" ht="13">
      <c r="B996" s="2"/>
    </row>
    <row r="997" spans="2:2" ht="13">
      <c r="B997" s="2"/>
    </row>
    <row r="998" spans="2:2" ht="13">
      <c r="B998" s="2"/>
    </row>
    <row r="999" spans="2:2" ht="13">
      <c r="B999" s="2"/>
    </row>
  </sheetData>
  <autoFilter ref="A1:S433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Sharl Hany</cp:lastModifiedBy>
  <dcterms:modified xsi:type="dcterms:W3CDTF">2026-06-21T00:12:30Z</dcterms:modified>
</cp:coreProperties>
</file>